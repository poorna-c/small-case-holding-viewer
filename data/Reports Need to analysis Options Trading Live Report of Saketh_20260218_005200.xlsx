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n\Downloads\"/>
    </mc:Choice>
  </mc:AlternateContent>
  <xr:revisionPtr revIDLastSave="0" documentId="13_ncr:1_{ACF3E27E-A68D-415C-8319-7D8B085A5EA5}" xr6:coauthVersionLast="47" xr6:coauthVersionMax="47" xr10:uidLastSave="{00000000-0000-0000-0000-000000000000}"/>
  <bookViews>
    <workbookView xWindow="-108" yWindow="-108" windowWidth="23256" windowHeight="12456" xr2:uid="{D3F400F9-C9EC-4ED0-AEA1-AC932656AF68}"/>
  </bookViews>
  <sheets>
    <sheet name="Sheet1" sheetId="1" r:id="rId1"/>
  </sheets>
  <definedNames>
    <definedName name="_xlnm._FilterDatabase" localSheetId="0" hidden="1">Sheet1!$A$1:$P$684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Q683" i="1"/>
  <c r="Q682" i="1"/>
  <c r="Q681" i="1"/>
  <c r="Q680" i="1"/>
  <c r="Q677" i="1"/>
  <c r="Q674" i="1"/>
  <c r="Q673" i="1"/>
  <c r="Q670" i="1"/>
  <c r="Q669" i="1"/>
  <c r="Q665" i="1"/>
  <c r="Q663" i="1"/>
  <c r="Q662" i="1"/>
  <c r="Q660" i="1"/>
  <c r="Q658" i="1"/>
  <c r="Q655" i="1"/>
  <c r="Q654" i="1"/>
  <c r="Q653" i="1"/>
  <c r="Q652" i="1"/>
  <c r="Q650" i="1"/>
  <c r="Q649" i="1"/>
  <c r="Q648" i="1"/>
  <c r="Q647" i="1"/>
  <c r="Q645" i="1"/>
  <c r="Q644" i="1"/>
  <c r="Q643" i="1"/>
  <c r="Q642" i="1"/>
  <c r="Q641" i="1"/>
  <c r="Q640" i="1"/>
  <c r="Q638" i="1"/>
  <c r="Q636" i="1"/>
  <c r="Q635" i="1"/>
  <c r="Q632" i="1"/>
  <c r="Q631" i="1"/>
  <c r="Q630" i="1"/>
  <c r="Q629" i="1"/>
  <c r="Q628" i="1"/>
  <c r="Q626" i="1"/>
  <c r="Q625" i="1"/>
  <c r="Q622" i="1"/>
  <c r="Q619" i="1"/>
  <c r="Q618" i="1"/>
  <c r="Q617" i="1"/>
  <c r="Q616" i="1"/>
  <c r="Q615" i="1"/>
  <c r="Q612" i="1"/>
  <c r="Q611" i="1"/>
  <c r="Q609" i="1"/>
  <c r="Q608" i="1"/>
  <c r="Q605" i="1"/>
  <c r="Q604" i="1"/>
  <c r="Q603" i="1"/>
  <c r="Q602" i="1"/>
  <c r="Q600" i="1"/>
  <c r="Q598" i="1"/>
  <c r="Q597" i="1"/>
  <c r="Q596" i="1"/>
  <c r="Q595" i="1"/>
  <c r="Q594" i="1"/>
  <c r="Q593" i="1"/>
  <c r="Q592" i="1"/>
  <c r="Q590" i="1"/>
  <c r="Q589" i="1"/>
  <c r="Q588" i="1"/>
  <c r="Q586" i="1"/>
  <c r="Q585" i="1"/>
  <c r="Q584" i="1"/>
  <c r="Q583" i="1"/>
  <c r="Q582" i="1"/>
  <c r="Q581" i="1"/>
  <c r="Q580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3" i="1"/>
  <c r="Q562" i="1"/>
  <c r="Q558" i="1"/>
  <c r="Q557" i="1"/>
  <c r="Q556" i="1"/>
  <c r="Q552" i="1"/>
  <c r="Q551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5" i="1"/>
  <c r="Q533" i="1"/>
  <c r="Q531" i="1"/>
  <c r="Q530" i="1"/>
  <c r="Q529" i="1"/>
  <c r="Q528" i="1"/>
  <c r="Q522" i="1"/>
  <c r="Q520" i="1"/>
  <c r="Q519" i="1"/>
  <c r="Q518" i="1"/>
  <c r="Q516" i="1"/>
  <c r="Q515" i="1"/>
  <c r="Q514" i="1"/>
  <c r="Q513" i="1"/>
  <c r="Q511" i="1"/>
  <c r="Q509" i="1"/>
  <c r="Q508" i="1"/>
  <c r="Q507" i="1"/>
  <c r="Q505" i="1"/>
  <c r="Q504" i="1"/>
  <c r="Q503" i="1"/>
  <c r="Q501" i="1"/>
  <c r="Q500" i="1"/>
  <c r="Q498" i="1"/>
  <c r="Q496" i="1"/>
  <c r="Q495" i="1"/>
  <c r="Q493" i="1"/>
  <c r="Q492" i="1"/>
  <c r="Q489" i="1"/>
  <c r="Q488" i="1"/>
  <c r="Q485" i="1"/>
  <c r="Q484" i="1"/>
  <c r="Q482" i="1"/>
  <c r="Q481" i="1"/>
  <c r="Q480" i="1"/>
  <c r="Q478" i="1"/>
  <c r="Q477" i="1"/>
  <c r="Q475" i="1"/>
  <c r="Q474" i="1"/>
  <c r="Q473" i="1"/>
  <c r="Q472" i="1"/>
  <c r="Q470" i="1"/>
  <c r="Q469" i="1"/>
  <c r="Q468" i="1"/>
  <c r="Q467" i="1"/>
  <c r="Q464" i="1"/>
  <c r="Q462" i="1"/>
  <c r="Q461" i="1"/>
  <c r="Q458" i="1"/>
  <c r="Q457" i="1"/>
  <c r="Q456" i="1"/>
  <c r="Q455" i="1"/>
  <c r="Q453" i="1"/>
  <c r="Q452" i="1"/>
  <c r="Q451" i="1"/>
  <c r="Q450" i="1"/>
  <c r="Q449" i="1"/>
  <c r="Q448" i="1"/>
  <c r="Q447" i="1"/>
  <c r="Q445" i="1"/>
  <c r="Q441" i="1"/>
  <c r="Q440" i="1"/>
  <c r="Q437" i="1"/>
  <c r="Q436" i="1"/>
  <c r="Q434" i="1"/>
  <c r="Q433" i="1"/>
  <c r="Q432" i="1"/>
  <c r="Q431" i="1"/>
  <c r="Q429" i="1"/>
  <c r="Q428" i="1"/>
  <c r="Q425" i="1"/>
  <c r="Q424" i="1"/>
  <c r="Q423" i="1"/>
  <c r="Q422" i="1"/>
  <c r="Q419" i="1"/>
  <c r="Q418" i="1"/>
  <c r="Q416" i="1"/>
  <c r="Q415" i="1"/>
  <c r="Q413" i="1"/>
  <c r="Q411" i="1"/>
  <c r="Q410" i="1"/>
  <c r="Q409" i="1"/>
  <c r="Q408" i="1"/>
  <c r="Q404" i="1"/>
  <c r="Q403" i="1"/>
  <c r="Q401" i="1"/>
  <c r="Q399" i="1"/>
  <c r="Q396" i="1"/>
  <c r="Q395" i="1"/>
  <c r="Q392" i="1"/>
  <c r="Q390" i="1"/>
  <c r="Q389" i="1"/>
  <c r="Q387" i="1"/>
  <c r="Q386" i="1"/>
  <c r="Q383" i="1"/>
  <c r="Q382" i="1"/>
  <c r="Q381" i="1"/>
  <c r="Q380" i="1"/>
  <c r="Q379" i="1"/>
  <c r="Q378" i="1"/>
  <c r="Q377" i="1"/>
  <c r="Q376" i="1"/>
  <c r="Q375" i="1"/>
  <c r="Q374" i="1"/>
  <c r="Q372" i="1"/>
  <c r="Q371" i="1"/>
  <c r="Q370" i="1"/>
  <c r="Q368" i="1"/>
  <c r="Q366" i="1"/>
  <c r="Q365" i="1"/>
  <c r="Q364" i="1"/>
  <c r="Q363" i="1"/>
  <c r="Q360" i="1"/>
  <c r="Q357" i="1"/>
  <c r="Q356" i="1"/>
  <c r="Q354" i="1"/>
  <c r="Q353" i="1"/>
  <c r="Q351" i="1"/>
  <c r="Q349" i="1"/>
  <c r="Q348" i="1"/>
  <c r="Q345" i="1"/>
  <c r="Q344" i="1"/>
  <c r="Q343" i="1"/>
  <c r="Q340" i="1"/>
  <c r="Q339" i="1"/>
  <c r="Q338" i="1"/>
  <c r="Q336" i="1"/>
  <c r="Q335" i="1"/>
  <c r="Q333" i="1"/>
  <c r="Q331" i="1"/>
  <c r="Q330" i="1"/>
  <c r="Q329" i="1"/>
  <c r="Q327" i="1"/>
  <c r="Q325" i="1"/>
  <c r="Q323" i="1"/>
  <c r="Q321" i="1"/>
  <c r="Q320" i="1"/>
  <c r="Q318" i="1"/>
  <c r="Q317" i="1"/>
  <c r="Q316" i="1"/>
  <c r="Q314" i="1"/>
  <c r="Q313" i="1"/>
  <c r="Q312" i="1"/>
  <c r="Q309" i="1"/>
  <c r="Q306" i="1"/>
  <c r="Q303" i="1"/>
  <c r="Q302" i="1"/>
  <c r="Q301" i="1"/>
  <c r="Q299" i="1"/>
  <c r="Q298" i="1"/>
  <c r="Q297" i="1"/>
  <c r="Q296" i="1"/>
  <c r="Q295" i="1"/>
  <c r="Q294" i="1"/>
  <c r="Q293" i="1"/>
  <c r="Q292" i="1"/>
  <c r="Q291" i="1"/>
  <c r="Q289" i="1"/>
  <c r="Q288" i="1"/>
  <c r="Q285" i="1"/>
  <c r="Q283" i="1"/>
  <c r="Q282" i="1"/>
  <c r="Q281" i="1"/>
  <c r="Q279" i="1"/>
  <c r="Q278" i="1"/>
  <c r="Q276" i="1"/>
  <c r="Q275" i="1"/>
  <c r="Q272" i="1"/>
  <c r="Q271" i="1"/>
  <c r="Q269" i="1"/>
  <c r="Q268" i="1"/>
  <c r="Q267" i="1"/>
  <c r="Q265" i="1"/>
  <c r="Q264" i="1"/>
  <c r="Q263" i="1"/>
  <c r="Q261" i="1"/>
  <c r="Q259" i="1"/>
  <c r="Q257" i="1"/>
  <c r="Q256" i="1"/>
  <c r="Q255" i="1"/>
  <c r="Q254" i="1"/>
  <c r="Q253" i="1"/>
  <c r="Q251" i="1"/>
  <c r="Q250" i="1"/>
  <c r="Q249" i="1"/>
  <c r="Q248" i="1"/>
  <c r="Q243" i="1"/>
  <c r="Q242" i="1"/>
  <c r="Q241" i="1"/>
  <c r="Q236" i="1"/>
  <c r="Q233" i="1"/>
  <c r="Q232" i="1"/>
  <c r="Q231" i="1"/>
  <c r="Q229" i="1"/>
  <c r="Q228" i="1"/>
  <c r="Q227" i="1"/>
  <c r="Q224" i="1"/>
  <c r="Q222" i="1"/>
  <c r="Q221" i="1"/>
  <c r="Q220" i="1"/>
  <c r="Q219" i="1"/>
  <c r="Q218" i="1"/>
  <c r="Q217" i="1"/>
  <c r="Q216" i="1"/>
  <c r="Q214" i="1"/>
  <c r="Q213" i="1"/>
  <c r="Q212" i="1"/>
  <c r="Q211" i="1"/>
  <c r="Q208" i="1"/>
  <c r="Q205" i="1"/>
  <c r="Q204" i="1"/>
  <c r="Q203" i="1"/>
  <c r="Q201" i="1"/>
  <c r="Q200" i="1"/>
  <c r="Q198" i="1"/>
  <c r="Q196" i="1"/>
  <c r="Q195" i="1"/>
  <c r="Q194" i="1"/>
  <c r="Q193" i="1"/>
  <c r="Q192" i="1"/>
  <c r="Q187" i="1"/>
  <c r="Q186" i="1"/>
  <c r="Q185" i="1"/>
  <c r="Q184" i="1"/>
  <c r="Q183" i="1"/>
  <c r="Q182" i="1"/>
  <c r="Q180" i="1"/>
  <c r="Q179" i="1"/>
  <c r="Q178" i="1"/>
  <c r="Q177" i="1"/>
  <c r="Q176" i="1"/>
  <c r="Q174" i="1"/>
  <c r="Q173" i="1"/>
  <c r="Q172" i="1"/>
  <c r="Q170" i="1"/>
  <c r="Q169" i="1"/>
  <c r="Q168" i="1"/>
  <c r="Q166" i="1"/>
  <c r="Q164" i="1"/>
  <c r="Q161" i="1"/>
  <c r="Q160" i="1"/>
  <c r="Q158" i="1"/>
  <c r="Q154" i="1"/>
  <c r="Q153" i="1"/>
  <c r="Q151" i="1"/>
  <c r="Q149" i="1"/>
  <c r="Q148" i="1"/>
  <c r="Q147" i="1"/>
  <c r="Q146" i="1"/>
  <c r="Q142" i="1"/>
  <c r="Q141" i="1"/>
  <c r="Q140" i="1"/>
  <c r="Q139" i="1"/>
  <c r="Q137" i="1"/>
  <c r="Q136" i="1"/>
  <c r="Q135" i="1"/>
  <c r="Q134" i="1"/>
  <c r="Q132" i="1"/>
  <c r="Q127" i="1"/>
  <c r="Q126" i="1"/>
  <c r="Q124" i="1"/>
  <c r="Q123" i="1"/>
  <c r="Q122" i="1"/>
  <c r="Q120" i="1"/>
  <c r="Q117" i="1"/>
  <c r="Q116" i="1"/>
  <c r="Q114" i="1"/>
  <c r="Q110" i="1"/>
  <c r="Q108" i="1"/>
  <c r="Q105" i="1"/>
  <c r="Q103" i="1"/>
  <c r="Q102" i="1"/>
  <c r="Q101" i="1"/>
  <c r="Q100" i="1"/>
  <c r="Q99" i="1"/>
  <c r="Q98" i="1"/>
  <c r="Q97" i="1"/>
  <c r="Q95" i="1"/>
  <c r="Q93" i="1"/>
  <c r="Q92" i="1"/>
  <c r="Q91" i="1"/>
  <c r="Q90" i="1"/>
  <c r="Q88" i="1"/>
  <c r="Q87" i="1"/>
  <c r="Q86" i="1"/>
  <c r="Q85" i="1"/>
  <c r="Q83" i="1"/>
  <c r="Q82" i="1"/>
  <c r="Q81" i="1"/>
  <c r="Q80" i="1"/>
  <c r="Q79" i="1"/>
  <c r="Q78" i="1"/>
  <c r="Q75" i="1"/>
  <c r="Q72" i="1"/>
  <c r="Q71" i="1"/>
  <c r="Q70" i="1"/>
  <c r="Q69" i="1"/>
  <c r="Q64" i="1"/>
  <c r="Q63" i="1"/>
  <c r="Q61" i="1"/>
  <c r="Q60" i="1"/>
  <c r="Q59" i="1"/>
  <c r="Q58" i="1"/>
  <c r="Q55" i="1"/>
  <c r="Q54" i="1"/>
  <c r="Q53" i="1"/>
  <c r="Q51" i="1"/>
  <c r="Q49" i="1"/>
  <c r="Q45" i="1"/>
  <c r="Q44" i="1"/>
  <c r="Q43" i="1"/>
  <c r="Q42" i="1"/>
  <c r="Q40" i="1"/>
  <c r="Q36" i="1"/>
  <c r="Q34" i="1"/>
  <c r="Q32" i="1"/>
  <c r="Q31" i="1"/>
  <c r="Q28" i="1"/>
  <c r="Q27" i="1"/>
  <c r="Q26" i="1"/>
  <c r="Q25" i="1"/>
  <c r="Q24" i="1"/>
  <c r="Q23" i="1"/>
  <c r="Q22" i="1"/>
  <c r="Q17" i="1"/>
  <c r="Q15" i="1"/>
  <c r="Q14" i="1"/>
  <c r="Q13" i="1"/>
  <c r="Q11" i="1"/>
  <c r="Q10" i="1"/>
  <c r="Q7" i="1"/>
  <c r="Q6" i="1"/>
  <c r="Q4" i="1"/>
  <c r="Q3" i="1"/>
  <c r="Q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2" i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3" i="1"/>
  <c r="P3" i="1" s="1"/>
  <c r="O4" i="1"/>
  <c r="P4" i="1" s="1"/>
  <c r="O5" i="1"/>
  <c r="P5" i="1" s="1"/>
  <c r="O2" i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<sst xmlns="http://schemas.openxmlformats.org/spreadsheetml/2006/main" count="2736" uniqueCount="700">
  <si>
    <t>BANKNIFTY2351142300PE</t>
  </si>
  <si>
    <t>-</t>
  </si>
  <si>
    <t>BANKNIFTY23JUN44100PE</t>
  </si>
  <si>
    <t>BANKNIFTY2351844600CE</t>
  </si>
  <si>
    <t>IDFCFIRSTB23JUL80PE</t>
  </si>
  <si>
    <t>BANKNIFTY2370644500CE</t>
  </si>
  <si>
    <t>BANKNIFTY2381743800PE</t>
  </si>
  <si>
    <t>FINNIFTY2382219600PE</t>
  </si>
  <si>
    <t>NIFTY2342017700CE</t>
  </si>
  <si>
    <t>BANKNIFTY2350442800PE</t>
  </si>
  <si>
    <t>BANKNIFTY23JUN42500PE</t>
  </si>
  <si>
    <t>FINNIFTY2350219150PE</t>
  </si>
  <si>
    <t>BANKNIFTY23APR41300PE</t>
  </si>
  <si>
    <t>BANKNIFTY2350442200PE</t>
  </si>
  <si>
    <t>BANKNIFTY2351144200CE</t>
  </si>
  <si>
    <t>IDFCFIRSTB23JUN65PE</t>
  </si>
  <si>
    <t>BANKNIFTY23JUN43000PE</t>
  </si>
  <si>
    <t>FINNIFTY2382219750CE</t>
  </si>
  <si>
    <t>NIFTY2342017750CE</t>
  </si>
  <si>
    <t>FINNIFTY2341818700PE</t>
  </si>
  <si>
    <t>NIFTY2351118200CE</t>
  </si>
  <si>
    <t>BANKNIFTY2360144500CE</t>
  </si>
  <si>
    <t>BANKNIFTY23MAY43200PE</t>
  </si>
  <si>
    <t>BANKNIFTY2361544000PE</t>
  </si>
  <si>
    <t>BANKNIFTY23JUL45300PE</t>
  </si>
  <si>
    <t>BANKNIFTY23APR41800PE</t>
  </si>
  <si>
    <t>BANKNIFTY2361544800CE</t>
  </si>
  <si>
    <t>BANKNIFTY2371344400PE</t>
  </si>
  <si>
    <t>NIFTY2360118600PE</t>
  </si>
  <si>
    <t>FINNIFTY23JUL20600PE</t>
  </si>
  <si>
    <t>BANKNIFTY2370646200CE</t>
  </si>
  <si>
    <t>BANKNIFTY2371344300PE</t>
  </si>
  <si>
    <t>SENSEX2381865000CE</t>
  </si>
  <si>
    <t>BANKNIFTY2361543700PE</t>
  </si>
  <si>
    <t>NIFTY2360118700CE</t>
  </si>
  <si>
    <t>BANKNIFTY23JUL46600CE</t>
  </si>
  <si>
    <t>ITC23MAY410CE</t>
  </si>
  <si>
    <t>NIFTY2382419450CE</t>
  </si>
  <si>
    <t>DRREDDY23AUGFUT</t>
  </si>
  <si>
    <t>BANKNIFTY23APR41000PE</t>
  </si>
  <si>
    <t>NIFTY23JUN18800PE</t>
  </si>
  <si>
    <t>BANKNIFTY2370645000CE</t>
  </si>
  <si>
    <t>BANKNIFTY23APR42800CE</t>
  </si>
  <si>
    <t>BANKNIFTY2351844700CE</t>
  </si>
  <si>
    <t>BANKNIFTY2371345600CE</t>
  </si>
  <si>
    <t>M&amp;M23AUGFUT</t>
  </si>
  <si>
    <t>NIFTY23APR17750PE</t>
  </si>
  <si>
    <t>BANKBARODA23JUNFUT</t>
  </si>
  <si>
    <t>BANKNIFTY2351845300CE</t>
  </si>
  <si>
    <t>IDFCFIRSTB23SEPFUT</t>
  </si>
  <si>
    <t>BANKNIFTY2342042000PE</t>
  </si>
  <si>
    <t>FINNIFTY2371120250CE</t>
  </si>
  <si>
    <t>BANKNIFTY2351844800CE</t>
  </si>
  <si>
    <t>BANKNIFTY2372045900CE</t>
  </si>
  <si>
    <t>BANKNIFTY2382444100PE</t>
  </si>
  <si>
    <t>NIFTY2360118750CE</t>
  </si>
  <si>
    <t>NIFTY2350418100PE</t>
  </si>
  <si>
    <t>BANKNIFTY2371345000PE</t>
  </si>
  <si>
    <t>BANKNIFTY2382444700PE</t>
  </si>
  <si>
    <t>BANKNIFTY2370645400CE</t>
  </si>
  <si>
    <t>BANKNIFTY2361544700CE</t>
  </si>
  <si>
    <t>IDFCFIRSTB23SEP85PE</t>
  </si>
  <si>
    <t>BANKNIFTY2342042400CE</t>
  </si>
  <si>
    <t>BANKNIFTY2360144800CE</t>
  </si>
  <si>
    <t>NIFTY2362218850CE</t>
  </si>
  <si>
    <t>NIFTY2360118550CE</t>
  </si>
  <si>
    <t>NIFTY2381719800CE</t>
  </si>
  <si>
    <t>FINNIFTY2371819450PE</t>
  </si>
  <si>
    <t>BANKNIFTY2342042200CE</t>
  </si>
  <si>
    <t>BANKNIFTY2351143100PE</t>
  </si>
  <si>
    <t>BANKNIFTY2372045000CE</t>
  </si>
  <si>
    <t>BANKNIFTY23APR41900PE</t>
  </si>
  <si>
    <t>NIFTY2381019500PE</t>
  </si>
  <si>
    <t>LTIM23SEPFUT</t>
  </si>
  <si>
    <t>BANKNIFTY2371346200CE</t>
  </si>
  <si>
    <t>NIFTY2361518400PE</t>
  </si>
  <si>
    <t>TATAMOTORS23SEP550PE</t>
  </si>
  <si>
    <t>BANKNIFTY2362242900PE</t>
  </si>
  <si>
    <t>BANKNIFTY2360843100PE</t>
  </si>
  <si>
    <t>BANKNIFTY23JUL46000PE</t>
  </si>
  <si>
    <t>BANKNIFTY2360145300CE</t>
  </si>
  <si>
    <t>BANKNIFTY2371345200CE</t>
  </si>
  <si>
    <t>BANKNIFTY23APR40500PE</t>
  </si>
  <si>
    <t>NIFTY2362218800CE</t>
  </si>
  <si>
    <t>BANKNIFTY23JUN43700PE</t>
  </si>
  <si>
    <t>BANKNIFTY2360144700CE</t>
  </si>
  <si>
    <t>BANKNIFTY23JUN42700PE</t>
  </si>
  <si>
    <t>BANKNIFTY23JUL46500PE</t>
  </si>
  <si>
    <t>NIFTY2380320200CE</t>
  </si>
  <si>
    <t>BANKNIFTY2342043000CE</t>
  </si>
  <si>
    <t>BANKNIFTY2382443300PE</t>
  </si>
  <si>
    <t>BANKNIFTY2370646800CE</t>
  </si>
  <si>
    <t>BANKNIFTY2382444800CE</t>
  </si>
  <si>
    <t>NIFTY2361518750CE</t>
  </si>
  <si>
    <t>BANKNIFTY2350442000PE</t>
  </si>
  <si>
    <t>FINNIFTY2350219400CE</t>
  </si>
  <si>
    <t>BANKNIFTY2370645200CE</t>
  </si>
  <si>
    <t>BANKNIFTY2342042900CE</t>
  </si>
  <si>
    <t>BANKNIFTY2390644800CE</t>
  </si>
  <si>
    <t>BANKNIFTY2342043500CE</t>
  </si>
  <si>
    <t>BANKNIFTY23JUN44500CE</t>
  </si>
  <si>
    <t>BANKNIFTY2360845000CE</t>
  </si>
  <si>
    <t>BANKNIFTY2360841000PE</t>
  </si>
  <si>
    <t>FINNIFTY2341819050CE</t>
  </si>
  <si>
    <t>BANKNIFTY2382442000PE</t>
  </si>
  <si>
    <t>ICICIBANK23JUNFUT</t>
  </si>
  <si>
    <t>NIFTY2360818850CE</t>
  </si>
  <si>
    <t>BANKNIFTY2372045500PE</t>
  </si>
  <si>
    <t>FINNIFTY2382219700PE</t>
  </si>
  <si>
    <t>BANKNIFTY2351142600PE</t>
  </si>
  <si>
    <t>NIFTY2351118250PE</t>
  </si>
  <si>
    <t>NIFTY2380319800CE</t>
  </si>
  <si>
    <t>FINNIFTY2341818750PE</t>
  </si>
  <si>
    <t>BANKNIFTY2351142900PE</t>
  </si>
  <si>
    <t>NIFTY2380319700PE</t>
  </si>
  <si>
    <t>BANKNIFTY2362243100PE</t>
  </si>
  <si>
    <t>BANKNIFTY23JUL46200CE</t>
  </si>
  <si>
    <t>NIFTY2372019100PE</t>
  </si>
  <si>
    <t>FINNIFTY2371820200PE</t>
  </si>
  <si>
    <t>BANKNIFTY2351143800CE</t>
  </si>
  <si>
    <t>NIFTY2350418200PE</t>
  </si>
  <si>
    <t>BANKNIFTY2362242500PE</t>
  </si>
  <si>
    <t>BANKNIFTY2351844000CE</t>
  </si>
  <si>
    <t>BANKNIFTY2372042000PE</t>
  </si>
  <si>
    <t>NIFTY2361518950CE</t>
  </si>
  <si>
    <t>BANKNIFTY2371343900PE</t>
  </si>
  <si>
    <t>BANKNIFTY2342040000PE</t>
  </si>
  <si>
    <t>NIFTY2342017650CE</t>
  </si>
  <si>
    <t>NIFTY2351118400CE</t>
  </si>
  <si>
    <t>NIFTY2350418100CE</t>
  </si>
  <si>
    <t>MARUTI23SEP9200PE</t>
  </si>
  <si>
    <t>BANKNIFTY2370644200PE</t>
  </si>
  <si>
    <t>FINNIFTY2341819000CE</t>
  </si>
  <si>
    <t>BANKNIFTY2350441000PE</t>
  </si>
  <si>
    <t>BANKNIFTY2351142500PE</t>
  </si>
  <si>
    <t>BANKNIFTY2351844100CE</t>
  </si>
  <si>
    <t>BANKNIFTY23JUL42600PE</t>
  </si>
  <si>
    <t>IDFC23JUNFUT</t>
  </si>
  <si>
    <t>BANKNIFTY2361544100CE</t>
  </si>
  <si>
    <t>BANKNIFTY2390644300CE</t>
  </si>
  <si>
    <t>BANKNIFTY2390644200PE</t>
  </si>
  <si>
    <t>BANKNIFTY2360142500PE</t>
  </si>
  <si>
    <t>IDFCFIRSTB23JUN70CE</t>
  </si>
  <si>
    <t>FINNIFTY23MAY19300PE</t>
  </si>
  <si>
    <t>NIFTY2380320000CE</t>
  </si>
  <si>
    <t>BANKNIFTY2361543000PE</t>
  </si>
  <si>
    <t>BANKNIFTY23JUN45000CE</t>
  </si>
  <si>
    <t>BANKNIFTY2360143300PE</t>
  </si>
  <si>
    <t>BANKNIFTY2360845100CE</t>
  </si>
  <si>
    <t>NIFTY2350418050PE</t>
  </si>
  <si>
    <t>BANKNIFTY2342040800PE</t>
  </si>
  <si>
    <t>NIFTY2351118600CE</t>
  </si>
  <si>
    <t>BANKNIFTY2351843100PE</t>
  </si>
  <si>
    <t>BANKNIFTY2371345000CE</t>
  </si>
  <si>
    <t>NIFTY2380319700CE</t>
  </si>
  <si>
    <t>FINNIFTY2381419600PE</t>
  </si>
  <si>
    <t>FINNIFTY2371819900PE</t>
  </si>
  <si>
    <t>BANKNIFTY23JUL46300CE</t>
  </si>
  <si>
    <t>FINNIFTY2380120100PE</t>
  </si>
  <si>
    <t>BANKNIFTY2342042300CE</t>
  </si>
  <si>
    <t>BANKNIFTY2370645300CE</t>
  </si>
  <si>
    <t>NIFTY2382419200PE</t>
  </si>
  <si>
    <t>NIFTY2361518700PE</t>
  </si>
  <si>
    <t>BANKNIFTY23JUL47100CE</t>
  </si>
  <si>
    <t>FINNIFTY2350219350CE</t>
  </si>
  <si>
    <t>BANKNIFTY2360845300CE</t>
  </si>
  <si>
    <t>IDFCFIRSTB23AUG83PE</t>
  </si>
  <si>
    <t>BANKNIFTY2371345900CE</t>
  </si>
  <si>
    <t>BANKNIFTY2362242000PE</t>
  </si>
  <si>
    <t>BANKNIFTY2360145200CE</t>
  </si>
  <si>
    <t>NIFTY2351118350CE</t>
  </si>
  <si>
    <t>BANKNIFTY2360844700CE</t>
  </si>
  <si>
    <t>BANKNIFTY23APR42000PE</t>
  </si>
  <si>
    <t>BANKNIFTY2372044300PE</t>
  </si>
  <si>
    <t>NIFTY2380318800PE</t>
  </si>
  <si>
    <t>BANKNIFTY2372044200PE</t>
  </si>
  <si>
    <t>BANKNIFTY2370645000PE</t>
  </si>
  <si>
    <t>BANKNIFTY23MAY42000PE</t>
  </si>
  <si>
    <t>BANKNIFTY23MAY43300PE</t>
  </si>
  <si>
    <t>BANKNIFTY2360145100CE</t>
  </si>
  <si>
    <t>NIFTY23JUL19900CE</t>
  </si>
  <si>
    <t>BANKNIFTY2362245300CE</t>
  </si>
  <si>
    <t>BANKNIFTY2350443600CE</t>
  </si>
  <si>
    <t>BANKNIFTY23APR42700PE</t>
  </si>
  <si>
    <t>BANKNIFTY23MAY43100PE</t>
  </si>
  <si>
    <t>BANKNIFTY23AUG44300CE</t>
  </si>
  <si>
    <t>BANKNIFTY2372045300CE</t>
  </si>
  <si>
    <t>NIFTY2360818950CE</t>
  </si>
  <si>
    <t>FINNIFTY2371819000PE</t>
  </si>
  <si>
    <t>NIFTY2342017800CE</t>
  </si>
  <si>
    <t>NIFTY2362218900CE</t>
  </si>
  <si>
    <t>BANKNIFTY23JUN43900PE</t>
  </si>
  <si>
    <t>BANKNIFTY2370640000PE</t>
  </si>
  <si>
    <t>BANKNIFTY2351842700PE</t>
  </si>
  <si>
    <t>BANKNIFTY2351844400CE</t>
  </si>
  <si>
    <t>BANKNIFTY23AUG45300CE</t>
  </si>
  <si>
    <t>FINNIFTY2350219000PE</t>
  </si>
  <si>
    <t>BANKNIFTY23MAY44400CE</t>
  </si>
  <si>
    <t>FINNIFTY2362019000PE</t>
  </si>
  <si>
    <t>BANKNIFTY2382444200PE</t>
  </si>
  <si>
    <t>BANKNIFTY2380344800PE</t>
  </si>
  <si>
    <t>NIFTY23APR18000CE</t>
  </si>
  <si>
    <t>BANKNIFTY2362244300CE</t>
  </si>
  <si>
    <t>BANKNIFTY2350442500PE</t>
  </si>
  <si>
    <t>BANKNIFTY23JUL45000PE</t>
  </si>
  <si>
    <t>NIFTY2361518650PE</t>
  </si>
  <si>
    <t>NIFTY2362218750PE</t>
  </si>
  <si>
    <t>BANKNIFTY2380343000PE</t>
  </si>
  <si>
    <t>NIFTY23APR18100CE</t>
  </si>
  <si>
    <t>NIFTY2351118800CE</t>
  </si>
  <si>
    <t>BANKNIFTY2362244100CE</t>
  </si>
  <si>
    <t>BANKNIFTY2342041000PE</t>
  </si>
  <si>
    <t>BANKNIFTY2360843000PE</t>
  </si>
  <si>
    <t>BANKNIFTY2380346500CE</t>
  </si>
  <si>
    <t>FINNIFTY2350919250PE</t>
  </si>
  <si>
    <t>BANKNIFTY2370646500CE</t>
  </si>
  <si>
    <t>BANKNIFTY2370645600CE</t>
  </si>
  <si>
    <t>BANKNIFTY2381744100CE</t>
  </si>
  <si>
    <t>BANKNIFTY23AUG44400CE</t>
  </si>
  <si>
    <t>BANKNIFTY2360844200PE</t>
  </si>
  <si>
    <t>BANKNIFTY2380342500PE</t>
  </si>
  <si>
    <t>BANKNIFTY2351142700PE</t>
  </si>
  <si>
    <t>IDFCFIRSTB23JUL70PE</t>
  </si>
  <si>
    <t>BANKNIFTY2351144400CE</t>
  </si>
  <si>
    <t>FINNIFTY23JUL20900CE</t>
  </si>
  <si>
    <t>HDFCBANK23MAY1600CE</t>
  </si>
  <si>
    <t>BANKNIFTY2360845400CE</t>
  </si>
  <si>
    <t>BANKNIFTY2371344700PE</t>
  </si>
  <si>
    <t>BANKNIFTY2342043100CE</t>
  </si>
  <si>
    <t>NIFTY2342017600PE</t>
  </si>
  <si>
    <t>BANKNIFTY2360144400CE</t>
  </si>
  <si>
    <t>BANKNIFTY2351143700CE</t>
  </si>
  <si>
    <t>BANKNIFTY2360142700PE</t>
  </si>
  <si>
    <t>FINNIFTY2382219550PE</t>
  </si>
  <si>
    <t>NIFTY2351118300CE</t>
  </si>
  <si>
    <t>BANKNIFTY23JUL45900PE</t>
  </si>
  <si>
    <t>NIFTY2382419700CE</t>
  </si>
  <si>
    <t>NIFTY2362219000CE</t>
  </si>
  <si>
    <t>NIFTY2371321000CE</t>
  </si>
  <si>
    <t>NIFTY2362218950CE</t>
  </si>
  <si>
    <t>BANKNIFTY2360844300CE</t>
  </si>
  <si>
    <t>BANKNIFTY2360844100CE</t>
  </si>
  <si>
    <t>BANKNIFTY2382445300CE</t>
  </si>
  <si>
    <t>NIFTY2342017500PE</t>
  </si>
  <si>
    <t>NIFTY2360118600CE</t>
  </si>
  <si>
    <t>IDFCFIRSTB23AUG85PE</t>
  </si>
  <si>
    <t>FINNIFTY2350919300PE</t>
  </si>
  <si>
    <t>BANKNIFTY2362243000PE</t>
  </si>
  <si>
    <t>BANKNIFTY2362243300PE</t>
  </si>
  <si>
    <t>BANKNIFTY23MAY43000PE</t>
  </si>
  <si>
    <t>BANKNIFTY23MAY42500PE</t>
  </si>
  <si>
    <t>NIFTY2390719600CE</t>
  </si>
  <si>
    <t>BANKNIFTY2350441500PE</t>
  </si>
  <si>
    <t>BANKNIFTY2351143600CE</t>
  </si>
  <si>
    <t>BANKNIFTY2360143800PE</t>
  </si>
  <si>
    <t>BANKNIFTY2372045400PE</t>
  </si>
  <si>
    <t>BANKNIFTY23JUN44000PE</t>
  </si>
  <si>
    <t>IDFCFIRSTB23JUL65PE</t>
  </si>
  <si>
    <t>BANKNIFTY2350443300PE</t>
  </si>
  <si>
    <t>FINNIFTY23MAY19400PE</t>
  </si>
  <si>
    <t>BANKNIFTY2360843600PE</t>
  </si>
  <si>
    <t>NIFTY2350418000PE</t>
  </si>
  <si>
    <t>BANKNIFTY23JUN44100CE</t>
  </si>
  <si>
    <t>BANKNIFTY2370643800PE</t>
  </si>
  <si>
    <t>BANKNIFTY2342041500PE</t>
  </si>
  <si>
    <t>NIFTY23APR17650PE</t>
  </si>
  <si>
    <t>BANKNIFTY2362243600PE</t>
  </si>
  <si>
    <t>BANKNIFTY2382444500PE</t>
  </si>
  <si>
    <t>BANKNIFTY2362243900PE</t>
  </si>
  <si>
    <t>NIFTY2360818550PE</t>
  </si>
  <si>
    <t>BANKNIFTY2360843500PE</t>
  </si>
  <si>
    <t>BANKNIFTY2351143300PE</t>
  </si>
  <si>
    <t>IDFCFIRSTB23JUL78PE</t>
  </si>
  <si>
    <t>IDFCFIRSTB23AUG80PE</t>
  </si>
  <si>
    <t>BANKNIFTY2360144600CE</t>
  </si>
  <si>
    <t>BANKNIFTY2342044000CE</t>
  </si>
  <si>
    <t>NIFTY2362218600PE</t>
  </si>
  <si>
    <t>BANKNIFTY23JUN43700CE</t>
  </si>
  <si>
    <t>BANKNIFTY23JUN42800PE</t>
  </si>
  <si>
    <t>FINNIFTY2362019450CE</t>
  </si>
  <si>
    <t>BANKNIFTY2361544000CE</t>
  </si>
  <si>
    <t>BANKNIFTY23JUL47200CE</t>
  </si>
  <si>
    <t>BANKNIFTY23MAY44200CE</t>
  </si>
  <si>
    <t>FINNIFTY23JUL20400PE</t>
  </si>
  <si>
    <t>BANKNIFTY23JUN45500CE</t>
  </si>
  <si>
    <t>FINNIFTY23MAY19600CE</t>
  </si>
  <si>
    <t>NIFTY2372019400PE</t>
  </si>
  <si>
    <t>BANKNIFTY23AUG45100CE</t>
  </si>
  <si>
    <t>BANKNIFTY23JUN44400CE</t>
  </si>
  <si>
    <t>NIFTY2361518400CE</t>
  </si>
  <si>
    <t>BANKNIFTY2360844900CE</t>
  </si>
  <si>
    <t>BANKNIFTY23JUL46400CE</t>
  </si>
  <si>
    <t>BANKNIFTY2360843400PE</t>
  </si>
  <si>
    <t>BANKNIFTY2382443500PE</t>
  </si>
  <si>
    <t>BANKNIFTY2351842300PE</t>
  </si>
  <si>
    <t>BANKNIFTY2360843900PE</t>
  </si>
  <si>
    <t>BANKNIFTY23JUL46800CE</t>
  </si>
  <si>
    <t>BANKNIFTY2342042600CE</t>
  </si>
  <si>
    <t>BANKNIFTY2351143400PE</t>
  </si>
  <si>
    <t>NIFTY2381019000PE</t>
  </si>
  <si>
    <t>BANKNIFTY23AUG43800PE</t>
  </si>
  <si>
    <t>BANKNIFTY2351843300PE</t>
  </si>
  <si>
    <t>BANKNIFTY2382445100CE</t>
  </si>
  <si>
    <t>FINNIFTY2341818400PE</t>
  </si>
  <si>
    <t>NIFTY2342017900CE</t>
  </si>
  <si>
    <t>BANKNIFTY23APR42300PE</t>
  </si>
  <si>
    <t>PERSISTENT23JUNFUT</t>
  </si>
  <si>
    <t>NIFTY2351118000PE</t>
  </si>
  <si>
    <t>BANKNIFTY23AUG44200CE</t>
  </si>
  <si>
    <t>NIFTY2360118500PE</t>
  </si>
  <si>
    <t>NIFTY2382419500CE</t>
  </si>
  <si>
    <t>BANKNIFTY23AUG43900PE</t>
  </si>
  <si>
    <t>BANKNIFTY2351843800PE</t>
  </si>
  <si>
    <t>BANKNIFTY2362244200CE</t>
  </si>
  <si>
    <t>NIFTY2360818600PE</t>
  </si>
  <si>
    <t>BANKNIFTY2361544600CE</t>
  </si>
  <si>
    <t>BANKNIFTY23JUN43200PE</t>
  </si>
  <si>
    <t>BANKNIFTY23JUN44000CE</t>
  </si>
  <si>
    <t>FINNIFTY2382219600CE</t>
  </si>
  <si>
    <t>BANKNIFTY23AUG43600PE</t>
  </si>
  <si>
    <t>BANKNIFTY2362243400PE</t>
  </si>
  <si>
    <t>NIFTY2351118250CE</t>
  </si>
  <si>
    <t>BANKNIFTY23MAY43500PE</t>
  </si>
  <si>
    <t>NIFTY2351118500CE</t>
  </si>
  <si>
    <t>BANKNIFTY23JUN44300CE</t>
  </si>
  <si>
    <t>FINNIFTY2382219700CE</t>
  </si>
  <si>
    <t>BANKNIFTY2371344500PE</t>
  </si>
  <si>
    <t>FINNIFTY2362019650CE</t>
  </si>
  <si>
    <t>BANKNIFTY2372042100PE</t>
  </si>
  <si>
    <t>BANKNIFTY2371343000PE</t>
  </si>
  <si>
    <t>BANKNIFTY23APR42400PE</t>
  </si>
  <si>
    <t>NIFTY2350418250CE</t>
  </si>
  <si>
    <t>BANKNIFTY23MAY42400PE</t>
  </si>
  <si>
    <t>IDFCFIRSTB23AUGFUT</t>
  </si>
  <si>
    <t>BANKNIFTY2372041900PE</t>
  </si>
  <si>
    <t>BANKNIFTY23JUN44600CE</t>
  </si>
  <si>
    <t>PERSISTENT23MAY4800PE</t>
  </si>
  <si>
    <t>BANKNIFTY2350443700PE</t>
  </si>
  <si>
    <t>BANKNIFTY2382444600PE</t>
  </si>
  <si>
    <t>BANKNIFTY2360844100PE</t>
  </si>
  <si>
    <t>NIFTY23JUL20150CE</t>
  </si>
  <si>
    <t>FINNIFTY2362019400PE</t>
  </si>
  <si>
    <t>BANKNIFTY2351141800PE</t>
  </si>
  <si>
    <t>BANKNIFTY2370646300CE</t>
  </si>
  <si>
    <t>BANKNIFTY23MAY42800PE</t>
  </si>
  <si>
    <t>TATAMOTORS23SEPFUT</t>
  </si>
  <si>
    <t>ASTRAL23AUGFUT</t>
  </si>
  <si>
    <t>BANKNIFTY2382442800PE</t>
  </si>
  <si>
    <t>BANKNIFTY23APR42500CE</t>
  </si>
  <si>
    <t>NIFTY23APR17900PE</t>
  </si>
  <si>
    <t>BANKNIFTY2342041700PE</t>
  </si>
  <si>
    <t>NIFTY2350418200CE</t>
  </si>
  <si>
    <t>BANKNIFTY23JUN43500PE</t>
  </si>
  <si>
    <t>BANKNIFTY2372045200PE</t>
  </si>
  <si>
    <t>FINNIFTY2350919150PE</t>
  </si>
  <si>
    <t>BANKNIFTY2382445000CE</t>
  </si>
  <si>
    <t>BANKNIFTY2371345200PE</t>
  </si>
  <si>
    <t>NIFTY23APR17950CE</t>
  </si>
  <si>
    <t>NIFTY2351118100PE</t>
  </si>
  <si>
    <t>BANKNIFTY2360843200PE</t>
  </si>
  <si>
    <t>NIFTY2371319250CE</t>
  </si>
  <si>
    <t>NIFTY2362219100CE</t>
  </si>
  <si>
    <t>BANKNIFTY2361544500CE</t>
  </si>
  <si>
    <t>BANKNIFTY2371345500CE</t>
  </si>
  <si>
    <t>BANKNIFTY23APR43200CE</t>
  </si>
  <si>
    <t>BANKNIFTY23MAY44600CE</t>
  </si>
  <si>
    <t>NIFTY2361518700CE</t>
  </si>
  <si>
    <t>BANKNIFTY2382443700PE</t>
  </si>
  <si>
    <t>NIFTY2390719600PE</t>
  </si>
  <si>
    <t>BANKNIFTY2372042900PE</t>
  </si>
  <si>
    <t>BANKNIFTY2351843400PE</t>
  </si>
  <si>
    <t>BANKNIFTY2360143700PE</t>
  </si>
  <si>
    <t>FINNIFTY2341818550PE</t>
  </si>
  <si>
    <t>BANKNIFTY2350443500PE</t>
  </si>
  <si>
    <t>BANKNIFTY2382444000PE</t>
  </si>
  <si>
    <t>BANKNIFTY2342041600PE</t>
  </si>
  <si>
    <t>BANKNIFTY23JUN44800CE</t>
  </si>
  <si>
    <t>BANKNIFTY23APR41200PE</t>
  </si>
  <si>
    <t>BANKNIFTY2361543500PE</t>
  </si>
  <si>
    <t>BANKNIFTY2382444200CE</t>
  </si>
  <si>
    <t>BANKNIFTY2342039000PE</t>
  </si>
  <si>
    <t>BANKNIFTY2372043700PE</t>
  </si>
  <si>
    <t>BANKNIFTY2350443200PE</t>
  </si>
  <si>
    <t>NIFTY23APR17700PE</t>
  </si>
  <si>
    <t>IDFCFIRSTB23AUG80CE</t>
  </si>
  <si>
    <t>BANKNIFTY2350443900CE</t>
  </si>
  <si>
    <t>BANKNIFTY2382445800CE</t>
  </si>
  <si>
    <t>FINNIFTY2350919450CE</t>
  </si>
  <si>
    <t>BANKNIFTY2362243900CE</t>
  </si>
  <si>
    <t>BANKNIFTY2361543200PE</t>
  </si>
  <si>
    <t>FINNIFTY23AUG19950CE</t>
  </si>
  <si>
    <t>BANKNIFTY2351844200CE</t>
  </si>
  <si>
    <t>NIFTY2360118550PE</t>
  </si>
  <si>
    <t>NIFTY2351117700PE</t>
  </si>
  <si>
    <t>BANKNIFTY2360146000CE</t>
  </si>
  <si>
    <t>BANKNIFTY2370645500CE</t>
  </si>
  <si>
    <t>IDFCFIRSTB23AUG91CE</t>
  </si>
  <si>
    <t>FINNIFTY2341818800PE</t>
  </si>
  <si>
    <t>BANKNIFTY23APR43100CE</t>
  </si>
  <si>
    <t>FINNIFTY2350919600CE</t>
  </si>
  <si>
    <t>BANKNIFTY23JUL44800PE</t>
  </si>
  <si>
    <t>IDFC23AUG120CE</t>
  </si>
  <si>
    <t>BANKNIFTY23APR42500PE</t>
  </si>
  <si>
    <t>BANKNIFTY2372045000PE</t>
  </si>
  <si>
    <t>FINNIFTY23AUG19700PE</t>
  </si>
  <si>
    <t>NIFTY2342017300PE</t>
  </si>
  <si>
    <t>NIFTY2360818650PE</t>
  </si>
  <si>
    <t>BANKNIFTY2361543300PE</t>
  </si>
  <si>
    <t>BANKNIFTY2371345400CE</t>
  </si>
  <si>
    <t>BANKNIFTY2350444000CE</t>
  </si>
  <si>
    <t>BANKNIFTY23MAY43800CE</t>
  </si>
  <si>
    <t>TATAPOWER23SEPFUT</t>
  </si>
  <si>
    <t>BANKNIFTY2342042700CE</t>
  </si>
  <si>
    <t>NIFTY2361518750PE</t>
  </si>
  <si>
    <t>BANKNIFTY23AUG44700CE</t>
  </si>
  <si>
    <t>BANKNIFTY2370642500PE</t>
  </si>
  <si>
    <t>NIFTY2351118200PE</t>
  </si>
  <si>
    <t>BANKNIFTY2351842500PE</t>
  </si>
  <si>
    <t>BANKNIFTY2351843000PE</t>
  </si>
  <si>
    <t>NIFTY2361518800CE</t>
  </si>
  <si>
    <t>NIFTY2360118900CE</t>
  </si>
  <si>
    <t>BANKNIFTY2370645100PE</t>
  </si>
  <si>
    <t>BANKNIFTY23APR42700CE</t>
  </si>
  <si>
    <t>BANKNIFTY2351844300CE</t>
  </si>
  <si>
    <t>BANKNIFTY2370644700PE</t>
  </si>
  <si>
    <t>NIFTY2390719700CE</t>
  </si>
  <si>
    <t>FINNIFTY2350919350PE</t>
  </si>
  <si>
    <t>BANKNIFTY23MAY44700CE</t>
  </si>
  <si>
    <t>BANKNIFTY2350443800CE</t>
  </si>
  <si>
    <t>FINNIFTY23AUG19750PE</t>
  </si>
  <si>
    <t>BANKNIFTY2350442700PE</t>
  </si>
  <si>
    <t>BANKNIFTY2382443000PE</t>
  </si>
  <si>
    <t>BANKNIFTY2362245100CE</t>
  </si>
  <si>
    <t>BANKNIFTY2362244400CE</t>
  </si>
  <si>
    <t>FINNIFTY2381419600CE</t>
  </si>
  <si>
    <t>BANKNIFTY2360842700PE</t>
  </si>
  <si>
    <t>BANKNIFTY2382444600CE</t>
  </si>
  <si>
    <t>NIFTY2362218850PE</t>
  </si>
  <si>
    <t>NIFTY23APR17800PE</t>
  </si>
  <si>
    <t>BANKNIFTY23MAY44100CE</t>
  </si>
  <si>
    <t>BANKNIFTY2362244600CE</t>
  </si>
  <si>
    <t>FINNIFTY2362019600CE</t>
  </si>
  <si>
    <t>FINNIFTY2350919550CE</t>
  </si>
  <si>
    <t>FINNIFTY23AUG19650PE</t>
  </si>
  <si>
    <t>BANKNIFTY2351143000PE</t>
  </si>
  <si>
    <t>FINNIFTY2341819300CE</t>
  </si>
  <si>
    <t>BANKNIFTY2351142200PE</t>
  </si>
  <si>
    <t>BANKNIFTY2372045100PE</t>
  </si>
  <si>
    <t>BANKNIFTY2370644500PE</t>
  </si>
  <si>
    <t>BANKNIFTY23AUG44600CE</t>
  </si>
  <si>
    <t>BANKNIFTY2360845500CE</t>
  </si>
  <si>
    <t>BANKNIFTY2351142800PE</t>
  </si>
  <si>
    <t>BANKNIFTY23MAY44000CE</t>
  </si>
  <si>
    <t>FINNIFTY2362019700CE</t>
  </si>
  <si>
    <t>BANKNIFTY23APR44000CE</t>
  </si>
  <si>
    <t>BANKNIFTY2351844900CE</t>
  </si>
  <si>
    <t>BANKNIFTY23JUL42700PE</t>
  </si>
  <si>
    <t>BANKNIFTY23MAY44300CE</t>
  </si>
  <si>
    <t>NIFTY2350417800PE</t>
  </si>
  <si>
    <t>NIFTY2360118450PE</t>
  </si>
  <si>
    <t>BANKNIFTY23JUL46000CE</t>
  </si>
  <si>
    <t>BANKNIFTY2351144600CE</t>
  </si>
  <si>
    <t>NIFTY2351118150PE</t>
  </si>
  <si>
    <t>BANKNIFTY23JUL44500PE</t>
  </si>
  <si>
    <t>FINNIFTY2382219650CE</t>
  </si>
  <si>
    <t>NIFTY2350418150PE</t>
  </si>
  <si>
    <t>BANKNIFTY2360844000CE</t>
  </si>
  <si>
    <t>BANKNIFTY2360144900CE</t>
  </si>
  <si>
    <t>BANKNIFTY23JUL46500CE</t>
  </si>
  <si>
    <t>BANKNIFTY2381744000CE</t>
  </si>
  <si>
    <t>NIFTY2350417950PE</t>
  </si>
  <si>
    <t>BANKNIFTY2351145500CE</t>
  </si>
  <si>
    <t>BANKNIFTY2360143900PE</t>
  </si>
  <si>
    <t>BANKNIFTY23AUG43500PE</t>
  </si>
  <si>
    <t>BANKNIFTY2360143400PE</t>
  </si>
  <si>
    <t>NIFTY2360818450PE</t>
  </si>
  <si>
    <t>BANKNIFTY2351842200PE</t>
  </si>
  <si>
    <t>BANKNIFTY2370646100CE</t>
  </si>
  <si>
    <t>FINNIFTY2380119500PE</t>
  </si>
  <si>
    <t>BANKNIFTY2342042200PE</t>
  </si>
  <si>
    <t>BANKNIFTY2351141500PE</t>
  </si>
  <si>
    <t>BANKNIFTY2351144100CE</t>
  </si>
  <si>
    <t>FINNIFTY2350219200PE</t>
  </si>
  <si>
    <t>BANKNIFTY2361543600PE</t>
  </si>
  <si>
    <t>BANKNIFTY2350442300PE</t>
  </si>
  <si>
    <t>FINNIFTY23MAY19650CE</t>
  </si>
  <si>
    <t>NIFTY2382419400PE</t>
  </si>
  <si>
    <t>BANKNIFTY23AUG44500PE</t>
  </si>
  <si>
    <t>BANKNIFTY2351144000CE</t>
  </si>
  <si>
    <t>NIFTY2351118300PE</t>
  </si>
  <si>
    <t>FINNIFTY23AUG19850CE</t>
  </si>
  <si>
    <t>BANKNIFTY2382444900CE</t>
  </si>
  <si>
    <t>BANKNIFTY2350443400PE</t>
  </si>
  <si>
    <t>NIFTY2381719800PE</t>
  </si>
  <si>
    <t>BANKNIFTY2360143500PE</t>
  </si>
  <si>
    <t>BANKNIFTY2361543400PE</t>
  </si>
  <si>
    <t>FINNIFTY2350919200PE</t>
  </si>
  <si>
    <t>BANKNIFTY2361543900PE</t>
  </si>
  <si>
    <t>FINNIFTY23JUL20800CE</t>
  </si>
  <si>
    <t>BANKNIFTY2382444500CE</t>
  </si>
  <si>
    <t>BANKNIFTY2361544900CE</t>
  </si>
  <si>
    <t>NIFTY2361518600PE</t>
  </si>
  <si>
    <t>BANKNIFTY23AUG44000CE</t>
  </si>
  <si>
    <t>BANKNIFTY2360844600CE</t>
  </si>
  <si>
    <t>BANKNIFTY2371346000CE</t>
  </si>
  <si>
    <t>FINNIFTY2382219500PE</t>
  </si>
  <si>
    <t>BANKNIFTY2362244000CE</t>
  </si>
  <si>
    <t>BANKNIFTY2370644600PE</t>
  </si>
  <si>
    <t>BANKNIFTY2351842400PE</t>
  </si>
  <si>
    <t>FINNIFTY2371820300PE</t>
  </si>
  <si>
    <t>BANKNIFTY23JUL43600PE</t>
  </si>
  <si>
    <t>NIFTY23SEP19500CE</t>
  </si>
  <si>
    <t>BANKNIFTY2380344500PE</t>
  </si>
  <si>
    <t>BANKNIFTY2362242800PE</t>
  </si>
  <si>
    <t>BANKNIFTY23APR42200PE</t>
  </si>
  <si>
    <t>BANKNIFTY23MAY45500CE</t>
  </si>
  <si>
    <t>NIFTY2361518550PE</t>
  </si>
  <si>
    <t>BANKNIFTY2370645100CE</t>
  </si>
  <si>
    <t>BANKNIFTY2382443800PE</t>
  </si>
  <si>
    <t>BANKNIFTY2360843800PE</t>
  </si>
  <si>
    <t>ITC23AUGFUT</t>
  </si>
  <si>
    <t>BANKNIFTY23APR41500PE</t>
  </si>
  <si>
    <t>NIFTY2371319300CE</t>
  </si>
  <si>
    <t>NIFTY23JUNFUT</t>
  </si>
  <si>
    <t>NIFTY23JUL19900PE</t>
  </si>
  <si>
    <t>NIFTY23APR17900CE</t>
  </si>
  <si>
    <t>NIFTY23APR17500PE</t>
  </si>
  <si>
    <t>BANKNIFTY2360143600PE</t>
  </si>
  <si>
    <t>BANKNIFTY2342042500CE</t>
  </si>
  <si>
    <t>BANKNIFTY23JUL42900PE</t>
  </si>
  <si>
    <t>BANKNIFTY2360843700PE</t>
  </si>
  <si>
    <t>NIFTY2362218700CE</t>
  </si>
  <si>
    <t>BANKNIFTY23JUL44900PE</t>
  </si>
  <si>
    <t>IDFCFIRSTB23JUNFUT</t>
  </si>
  <si>
    <t>BANKNIFTY2360844800CE</t>
  </si>
  <si>
    <t>SENSEX2381864700PE</t>
  </si>
  <si>
    <t>BANKNIFTY2382444700CE</t>
  </si>
  <si>
    <t>BANKNIFTY23AUG44100PE</t>
  </si>
  <si>
    <t>BANKNIFTY23JUL45600PE</t>
  </si>
  <si>
    <t>BANKNIFTY2372045300PE</t>
  </si>
  <si>
    <t>BANKNIFTY2351841500PE</t>
  </si>
  <si>
    <t>BANKNIFTY2351845500CE</t>
  </si>
  <si>
    <t>BANKNIFTY2351144500CE</t>
  </si>
  <si>
    <t>BANKNIFTY2362244000PE</t>
  </si>
  <si>
    <t>BANKNIFTY2360844500CE</t>
  </si>
  <si>
    <t>BANKNIFTY2360846000CE</t>
  </si>
  <si>
    <t>BANKNIFTY23AUG44000PE</t>
  </si>
  <si>
    <t>BANKNIFTY2390644000PE</t>
  </si>
  <si>
    <t>BANKNIFTY2362243200PE</t>
  </si>
  <si>
    <t>MARUTI23SEPFUT</t>
  </si>
  <si>
    <t>BANKNIFTY2390643700PE</t>
  </si>
  <si>
    <t>BANKNIFTY23MAY44800CE</t>
  </si>
  <si>
    <t>FINNIFTY23MAY19700CE</t>
  </si>
  <si>
    <t>FINNIFTY2362020000CE</t>
  </si>
  <si>
    <t>IDFC23JUN90PE</t>
  </si>
  <si>
    <t>BANKNIFTY23APR42100PE</t>
  </si>
  <si>
    <t>BANKNIFTY2351843900CE</t>
  </si>
  <si>
    <t>BANKNIFTY23JUL45200PE</t>
  </si>
  <si>
    <t>NIFTY2342017550PE</t>
  </si>
  <si>
    <t>FINNIFTY2362019500CE</t>
  </si>
  <si>
    <t>FINNIFTY23JUL20700CE</t>
  </si>
  <si>
    <t>BANKNIFTY2351842800PE</t>
  </si>
  <si>
    <t>BANKNIFTY23APR41700PE</t>
  </si>
  <si>
    <t>NIFTY2362218500PE</t>
  </si>
  <si>
    <t>NIFTY23JUN18500PE</t>
  </si>
  <si>
    <t>BANKNIFTY2361542200PE</t>
  </si>
  <si>
    <t>BANKNIFTY2342041800PE</t>
  </si>
  <si>
    <t>BANKNIFTY23MAY44500CE</t>
  </si>
  <si>
    <t>BANKNIFTY2360844000PE</t>
  </si>
  <si>
    <t>BANKNIFTY2362245500CE</t>
  </si>
  <si>
    <t>BANKNIFTY2362241500PE</t>
  </si>
  <si>
    <t>BANKNIFTY2361545700CE</t>
  </si>
  <si>
    <t>BANKNIFTY2370645700CE</t>
  </si>
  <si>
    <t>BANKNIFTY2370645200PE</t>
  </si>
  <si>
    <t>BANKNIFTY2362244800CE</t>
  </si>
  <si>
    <t>BANKNIFTY23JUN43800PE</t>
  </si>
  <si>
    <t>BANKNIFTY2362243700PE</t>
  </si>
  <si>
    <t>BANKNIFTY2350443700CE</t>
  </si>
  <si>
    <t>FINNIFTY2350219300CE</t>
  </si>
  <si>
    <t>BANKNIFTY23MAY43400PE</t>
  </si>
  <si>
    <t>BANKNIFTY2382444400PE</t>
  </si>
  <si>
    <t>BANKNIFTY23AUG44900CE</t>
  </si>
  <si>
    <t>BANKNIFTY23AUG44800CE</t>
  </si>
  <si>
    <t>BANKNIFTY2382445500CE</t>
  </si>
  <si>
    <t>BANKNIFTY23AUG43700PE</t>
  </si>
  <si>
    <t>BANKNIFTY2351141600PE</t>
  </si>
  <si>
    <t>NIFTY2351118450CE</t>
  </si>
  <si>
    <t>BANKNIFTY2381744000PE</t>
  </si>
  <si>
    <t>BANKNIFTY2351844500CE</t>
  </si>
  <si>
    <t>BANKNIFTY2350444500CE</t>
  </si>
  <si>
    <t>NIFTY2382419400CE</t>
  </si>
  <si>
    <t>BANKNIFTY23JUN43600PE</t>
  </si>
  <si>
    <t>BANKNIFTY23AUG44500CE</t>
  </si>
  <si>
    <t>BANKNIFTY2351144800CE</t>
  </si>
  <si>
    <t>BANKNIFTY23JUN41800PE</t>
  </si>
  <si>
    <t>BANKNIFTY2362244500CE</t>
  </si>
  <si>
    <t>BANKNIFTY2370646000CE</t>
  </si>
  <si>
    <t>BANKNIFTY2362243500PE</t>
  </si>
  <si>
    <t>HAL23JUNFUT</t>
  </si>
  <si>
    <t>BANKNIFTY2360141500PE</t>
  </si>
  <si>
    <t>ICICIBANK23JUN880PE</t>
  </si>
  <si>
    <t>BANKNIFTY2371345700CE</t>
  </si>
  <si>
    <t>BANKNIFTY2370645800CE</t>
  </si>
  <si>
    <t>BANKNIFTY2370644400PE</t>
  </si>
  <si>
    <t>BANKNIFTY23AUG43200PE</t>
  </si>
  <si>
    <t>NIFTY2360118300PE</t>
  </si>
  <si>
    <t>FINNIFTY2371820150PE</t>
  </si>
  <si>
    <t>BANKNIFTY2351141700PE</t>
  </si>
  <si>
    <t>BANKNIFTY2351843200PE</t>
  </si>
  <si>
    <t>NIFTY2362218500CE</t>
  </si>
  <si>
    <t>BANKNIFTY2360841700PE</t>
  </si>
  <si>
    <t>BANKNIFTY2351143200PE</t>
  </si>
  <si>
    <t>FINNIFTY23JUL20600CE</t>
  </si>
  <si>
    <t>NIFTY2362218800PE</t>
  </si>
  <si>
    <t>BANKNIFTY2360141000PE</t>
  </si>
  <si>
    <t>BANKNIFTY2360145000CE</t>
  </si>
  <si>
    <t>BANKNIFTY2372044000PE</t>
  </si>
  <si>
    <t>BANKNIFTY2372044700PE</t>
  </si>
  <si>
    <t>BANKNIFTY2351143900CE</t>
  </si>
  <si>
    <t>NIFTY2360118650CE</t>
  </si>
  <si>
    <t>IDFCFIRSTB23AUG90CE</t>
  </si>
  <si>
    <t>BANKNIFTY2350443500CE</t>
  </si>
  <si>
    <t>NIFTY2361518850CE</t>
  </si>
  <si>
    <t>NIFTY2351118350PE</t>
  </si>
  <si>
    <t>BANKNIFTY2372044100PE</t>
  </si>
  <si>
    <t>BANKNIFTY23JUN42900PE</t>
  </si>
  <si>
    <t>FINNIFTY2350219100PE</t>
  </si>
  <si>
    <t>BANKNIFTY2371345800CE</t>
  </si>
  <si>
    <t>BANKNIFTY2350443100PE</t>
  </si>
  <si>
    <t>BANKNIFTY23JUL45500PE</t>
  </si>
  <si>
    <t>BANKNIFTY2342041400PE</t>
  </si>
  <si>
    <t>BANKNIFTY2361543100PE</t>
  </si>
  <si>
    <t>NIFTY2360818750CE</t>
  </si>
  <si>
    <t>NIFTY2382419550CE</t>
  </si>
  <si>
    <t>BANKNIFTY23APR39800PE</t>
  </si>
  <si>
    <t>BANKNIFTY2351143500CE</t>
  </si>
  <si>
    <t>NIFTY23JUL19700PE</t>
  </si>
  <si>
    <t>BANKNIFTY23AUG43300PE</t>
  </si>
  <si>
    <t>NIFTY2350418300CE</t>
  </si>
  <si>
    <t>BANKNIFTY2371345300CE</t>
  </si>
  <si>
    <t>BANKNIFTY23AUG45000CE</t>
  </si>
  <si>
    <t>BANKNIFTY2370645900CE</t>
  </si>
  <si>
    <t>BANKNIFTY23AUG44300PE</t>
  </si>
  <si>
    <t>BANKNIFTY23APR43000CE</t>
  </si>
  <si>
    <t>BANKNIFTY2351841000PE</t>
  </si>
  <si>
    <t>FINNIFTY2362019400CE</t>
  </si>
  <si>
    <t>BANKNIFTY2370644800PE</t>
  </si>
  <si>
    <t>BANKNIFTY23JUN43800CE</t>
  </si>
  <si>
    <t>BANKNIFTY2362244700CE</t>
  </si>
  <si>
    <t>BANKNIFTY23AUG45200CE</t>
  </si>
  <si>
    <t>NIFTY2342017450PE</t>
  </si>
  <si>
    <t>BANKNIFTY2351142000PE</t>
  </si>
  <si>
    <t>BANKNIFTY2360844300PE</t>
  </si>
  <si>
    <t>BANKNIFTY23APR42900CE</t>
  </si>
  <si>
    <t>BANKNIFTY23APR43300CE</t>
  </si>
  <si>
    <t>NIFTY2351117400PE</t>
  </si>
  <si>
    <t>FINNIFTY23MAY19450PE</t>
  </si>
  <si>
    <t>BANKNIFTY2360842000PE</t>
  </si>
  <si>
    <t>NIFTY2350418150CE</t>
  </si>
  <si>
    <t>BANKNIFTY2371347000CE</t>
  </si>
  <si>
    <t>FINNIFTY2350919500CE</t>
  </si>
  <si>
    <t>BANKNIFTY23APR42600PE</t>
  </si>
  <si>
    <t>BANKNIFTY23MAY43900CE</t>
  </si>
  <si>
    <t>M&amp;M23AUG1300PE</t>
  </si>
  <si>
    <t>BANKNIFTY2342041900PE</t>
  </si>
  <si>
    <t>NIFTY2360118400PE</t>
  </si>
  <si>
    <t>NIFTY23SEP19500PE</t>
  </si>
  <si>
    <t>NIFTY23APR17850PE</t>
  </si>
  <si>
    <t>BANKNIFTY2351845000CE</t>
  </si>
  <si>
    <t>BANKNIFTY23JUN43900CE</t>
  </si>
  <si>
    <t>FINNIFTY2341818950CE</t>
  </si>
  <si>
    <t>FINNIFTY2341818650PE</t>
  </si>
  <si>
    <t>BANKNIFTY2361545000CE</t>
  </si>
  <si>
    <t>BANKNIFTY2370647000CE</t>
  </si>
  <si>
    <t>IDFCFIRSTB23JULFUT</t>
  </si>
  <si>
    <t>NIFTY2381019800CE</t>
  </si>
  <si>
    <t>BANKNIFTY23APR43500CE</t>
  </si>
  <si>
    <t>IDFCFIRSTB23AUG92CE</t>
  </si>
  <si>
    <t>TITAN23AUGFUT</t>
  </si>
  <si>
    <t>BANKNIFTY2360142900PE</t>
  </si>
  <si>
    <t>BANKNIFTY2382444300CE</t>
  </si>
  <si>
    <t>BANKNIFTY2342040500PE</t>
  </si>
  <si>
    <t>BANKNIFTY2342042800CE</t>
  </si>
  <si>
    <t>NIFTY2360118100PE</t>
  </si>
  <si>
    <t>Symbol</t>
  </si>
  <si>
    <t xml:space="preserve">ExpDate </t>
  </si>
  <si>
    <t>Buy Qty</t>
  </si>
  <si>
    <t>Buy Avg</t>
  </si>
  <si>
    <t>Buy Val</t>
  </si>
  <si>
    <t>Sell Qty</t>
  </si>
  <si>
    <t>Sell Avg</t>
  </si>
  <si>
    <t>Sell Val</t>
  </si>
  <si>
    <t>Open Qty</t>
  </si>
  <si>
    <t>Open Avg</t>
  </si>
  <si>
    <t>Prev. Close Rate</t>
  </si>
  <si>
    <t>Realized P&amp;L</t>
  </si>
  <si>
    <t>UnRealized P&amp;L</t>
  </si>
  <si>
    <t>Insutrment</t>
  </si>
  <si>
    <t>Strikes</t>
  </si>
  <si>
    <t>Profit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</si>
</sst>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2060B"/>
      <name val="Tahoma"/>
      <family val="2"/>
    </font>
    <font>
      <sz val="11"/>
      <color rgb="FFFF0000"/>
      <name val="Tahoma"/>
      <family val="2"/>
    </font>
    <font>
      <sz val="11"/>
      <color rgb="FF008000"/>
      <name val="Tahoma"/>
      <family val="2"/>
    </font>
    <font>
      <b/>
      <sz val="11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7F6FB"/>
        <bgColor indexed="64"/>
      </patternFill>
    </fill>
    <fill>
      <patternFill patternType="solid">
        <fgColor rgb="FF16166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15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0C7E-A032-47C7-B992-DDB6FE39722E}">
  <sheetPr filterMode="1"/>
  <dimension ref="A1:S684"/>
  <sheetViews>
    <sheetView tabSelected="1" topLeftCell="J201" workbookViewId="0">
      <selection activeCell="S2" sqref="S2:S221"/>
    </sheetView>
  </sheetViews>
  <sheetFormatPr defaultRowHeight="14.4" x14ac:dyDescent="0.3"/>
  <cols>
    <col min="1" max="14" width="28.33203125" customWidth="1"/>
    <col min="15" max="16" width="14.33203125" customWidth="1"/>
  </cols>
  <sheetData>
    <row r="1" spans="1:19" x14ac:dyDescent="0.3">
      <c r="A1" s="6" t="s">
        <v>684</v>
      </c>
      <c r="B1" s="6" t="s">
        <v>685</v>
      </c>
      <c r="C1" s="7" t="s">
        <v>686</v>
      </c>
      <c r="D1" s="7" t="s">
        <v>687</v>
      </c>
      <c r="E1" s="7" t="s">
        <v>688</v>
      </c>
      <c r="F1" s="7" t="s">
        <v>689</v>
      </c>
      <c r="G1" s="7" t="s">
        <v>690</v>
      </c>
      <c r="H1" s="7" t="s">
        <v>699</v>
      </c>
      <c r="I1" s="7" t="s">
        <v>691</v>
      </c>
      <c r="J1" s="7" t="s">
        <v>692</v>
      </c>
      <c r="K1" s="7" t="s">
        <v>693</v>
      </c>
      <c r="L1" s="7" t="s">
        <v>694</v>
      </c>
      <c r="M1" s="7" t="s">
        <v>695</v>
      </c>
      <c r="N1" s="7" t="s">
        <v>696</v>
      </c>
      <c r="O1" s="7" t="s">
        <v>697</v>
      </c>
      <c r="P1" s="7" t="s">
        <v>698</v>
      </c>
    </row>
    <row r="2" spans="1:19" x14ac:dyDescent="0.3">
      <c r="A2" s="1" t="s">
        <v>0</v>
      </c>
      <c r="B2" s="2">
        <v>45057</v>
      </c>
      <c r="C2" s="3">
        <v>1200</v>
      </c>
      <c r="D2" s="3">
        <v>27.09</v>
      </c>
      <c r="E2" s="3">
        <v>32503.75</v>
      </c>
      <c r="F2" s="3">
        <v>1200</v>
      </c>
      <c r="G2" s="3">
        <v>21.2</v>
      </c>
      <c r="H2" s="3">
        <f>G2-D2</f>
        <v>-5.8900000000000006</v>
      </c>
      <c r="I2" s="3">
        <v>25441.25</v>
      </c>
      <c r="J2" s="3" t="s">
        <v>1</v>
      </c>
      <c r="K2" s="3" t="s">
        <v>1</v>
      </c>
      <c r="L2" s="3" t="s">
        <v>1</v>
      </c>
      <c r="M2" s="4">
        <v>-7062.5</v>
      </c>
      <c r="N2" s="5">
        <v>0</v>
      </c>
      <c r="O2" t="str">
        <f>LEFT(A2, FIND("NIFTY", A2) +4)</f>
        <v>BANKNIFTY</v>
      </c>
      <c r="P2" t="str">
        <f>IF(SEARCH("NIFTY",O2),RIGHT(A2,7),0)</f>
        <v>42300PE</v>
      </c>
      <c r="Q2">
        <f>M2/C2</f>
        <v>-5.885416666666667</v>
      </c>
      <c r="S2" cm="1">
        <f t="array" ref="S2:S683">_xlfn._xlws.SORT(Q2:Q683)</f>
        <v>-225.68</v>
      </c>
    </row>
    <row r="3" spans="1:19" x14ac:dyDescent="0.3">
      <c r="A3" s="1" t="s">
        <v>2</v>
      </c>
      <c r="B3" s="2">
        <v>45105</v>
      </c>
      <c r="C3" s="3">
        <v>400</v>
      </c>
      <c r="D3" s="3">
        <v>117.05</v>
      </c>
      <c r="E3" s="3">
        <v>46820</v>
      </c>
      <c r="F3" s="3">
        <v>400</v>
      </c>
      <c r="G3" s="3">
        <v>121.65</v>
      </c>
      <c r="H3" s="3">
        <f t="shared" ref="H3:H66" si="0">G3-D3</f>
        <v>4.6000000000000085</v>
      </c>
      <c r="I3" s="3">
        <v>48660</v>
      </c>
      <c r="J3" s="3" t="s">
        <v>1</v>
      </c>
      <c r="K3" s="3" t="s">
        <v>1</v>
      </c>
      <c r="L3" s="3" t="s">
        <v>1</v>
      </c>
      <c r="M3" s="5">
        <v>1840</v>
      </c>
      <c r="N3" s="5">
        <v>0</v>
      </c>
      <c r="O3" t="str">
        <f t="shared" ref="O3:O66" si="1">LEFT(A3, FIND("NIFTY", A3) +4)</f>
        <v>BANKNIFTY</v>
      </c>
      <c r="P3" t="str">
        <f>IF(SEARCH("NIFTY",O3),RIGHT(A3,7),0)</f>
        <v>44100PE</v>
      </c>
      <c r="Q3">
        <f t="shared" ref="Q3:Q4" si="2">M3/C3</f>
        <v>4.5999999999999996</v>
      </c>
      <c r="S3">
        <v>-75.081578947368428</v>
      </c>
    </row>
    <row r="4" spans="1:19" x14ac:dyDescent="0.3">
      <c r="A4" s="1" t="s">
        <v>3</v>
      </c>
      <c r="B4" s="2">
        <v>45064</v>
      </c>
      <c r="C4" s="3">
        <v>5700</v>
      </c>
      <c r="D4" s="3">
        <v>32.39</v>
      </c>
      <c r="E4" s="3">
        <v>184615</v>
      </c>
      <c r="F4" s="3">
        <v>5700</v>
      </c>
      <c r="G4" s="3">
        <v>30.64</v>
      </c>
      <c r="H4" s="3">
        <f t="shared" si="0"/>
        <v>-1.75</v>
      </c>
      <c r="I4" s="3">
        <v>174657.5</v>
      </c>
      <c r="J4" s="3" t="s">
        <v>1</v>
      </c>
      <c r="K4" s="3" t="s">
        <v>1</v>
      </c>
      <c r="L4" s="3" t="s">
        <v>1</v>
      </c>
      <c r="M4" s="4">
        <v>-9957.5</v>
      </c>
      <c r="N4" s="5">
        <v>0</v>
      </c>
      <c r="O4" t="str">
        <f t="shared" si="1"/>
        <v>BANKNIFTY</v>
      </c>
      <c r="P4" t="str">
        <f>IF(SEARCH("NIFTY",O4),RIGHT(A4,7),0)</f>
        <v>44600CE</v>
      </c>
      <c r="Q4">
        <f t="shared" si="2"/>
        <v>-1.7469298245614036</v>
      </c>
      <c r="S4">
        <v>-63.85</v>
      </c>
    </row>
    <row r="5" spans="1:19" hidden="1" x14ac:dyDescent="0.3">
      <c r="A5" s="1" t="s">
        <v>4</v>
      </c>
      <c r="B5" s="2">
        <v>45134</v>
      </c>
      <c r="C5" s="3">
        <v>600000</v>
      </c>
      <c r="D5" s="3">
        <v>1.5</v>
      </c>
      <c r="E5" s="3">
        <v>900000</v>
      </c>
      <c r="F5" s="3">
        <v>600000</v>
      </c>
      <c r="G5" s="3">
        <v>0.89</v>
      </c>
      <c r="H5" s="3">
        <f t="shared" si="0"/>
        <v>-0.61</v>
      </c>
      <c r="I5" s="3">
        <v>534750</v>
      </c>
      <c r="J5" s="3" t="s">
        <v>1</v>
      </c>
      <c r="K5" s="3" t="s">
        <v>1</v>
      </c>
      <c r="L5" s="3" t="s">
        <v>1</v>
      </c>
      <c r="M5" s="4">
        <v>-365250</v>
      </c>
      <c r="N5" s="5">
        <v>0</v>
      </c>
      <c r="O5" t="e">
        <f t="shared" si="1"/>
        <v>#VALUE!</v>
      </c>
      <c r="P5" t="e">
        <f>IF(SEARCH("NIFTY",O5),RIGHT(A5,7),0)</f>
        <v>#VALUE!</v>
      </c>
      <c r="S5">
        <v>-47.284374999999997</v>
      </c>
    </row>
    <row r="6" spans="1:19" x14ac:dyDescent="0.3">
      <c r="A6" s="1" t="s">
        <v>5</v>
      </c>
      <c r="B6" s="2">
        <v>45113</v>
      </c>
      <c r="C6" s="3">
        <v>300</v>
      </c>
      <c r="D6" s="3">
        <v>297.45999999999998</v>
      </c>
      <c r="E6" s="3">
        <v>89237.5</v>
      </c>
      <c r="F6" s="3">
        <v>300</v>
      </c>
      <c r="G6" s="3">
        <v>268.41000000000003</v>
      </c>
      <c r="H6" s="3">
        <f t="shared" si="0"/>
        <v>-29.049999999999955</v>
      </c>
      <c r="I6" s="3">
        <v>80522.5</v>
      </c>
      <c r="J6" s="3" t="s">
        <v>1</v>
      </c>
      <c r="K6" s="3" t="s">
        <v>1</v>
      </c>
      <c r="L6" s="3" t="s">
        <v>1</v>
      </c>
      <c r="M6" s="4">
        <v>-8715</v>
      </c>
      <c r="N6" s="5">
        <v>0</v>
      </c>
      <c r="O6" t="str">
        <f t="shared" si="1"/>
        <v>BANKNIFTY</v>
      </c>
      <c r="P6" t="str">
        <f>IF(SEARCH("NIFTY",O6),RIGHT(A6,7),0)</f>
        <v>44500CE</v>
      </c>
      <c r="Q6">
        <f t="shared" ref="Q6:Q7" si="3">M6/C6</f>
        <v>-29.05</v>
      </c>
      <c r="S6">
        <v>-43.81</v>
      </c>
    </row>
    <row r="7" spans="1:19" x14ac:dyDescent="0.3">
      <c r="A7" s="1" t="s">
        <v>6</v>
      </c>
      <c r="B7" s="2">
        <v>45155</v>
      </c>
      <c r="C7" s="3">
        <v>150</v>
      </c>
      <c r="D7" s="3">
        <v>71.45</v>
      </c>
      <c r="E7" s="3">
        <v>10717.5</v>
      </c>
      <c r="F7" s="3">
        <v>150</v>
      </c>
      <c r="G7" s="3">
        <v>138.9</v>
      </c>
      <c r="H7" s="3">
        <f t="shared" si="0"/>
        <v>67.45</v>
      </c>
      <c r="I7" s="3">
        <v>20835</v>
      </c>
      <c r="J7" s="3" t="s">
        <v>1</v>
      </c>
      <c r="K7" s="3" t="s">
        <v>1</v>
      </c>
      <c r="L7" s="3" t="s">
        <v>1</v>
      </c>
      <c r="M7" s="5">
        <v>10117.5</v>
      </c>
      <c r="N7" s="5">
        <v>0</v>
      </c>
      <c r="O7" t="str">
        <f t="shared" si="1"/>
        <v>BANKNIFTY</v>
      </c>
      <c r="P7" t="str">
        <f>IF(SEARCH("NIFTY",O7),RIGHT(A7,7),0)</f>
        <v>43800PE</v>
      </c>
      <c r="Q7">
        <f t="shared" si="3"/>
        <v>67.45</v>
      </c>
      <c r="S7">
        <v>-40.987301587301587</v>
      </c>
    </row>
    <row r="8" spans="1:19" hidden="1" x14ac:dyDescent="0.3">
      <c r="A8" s="1" t="s">
        <v>7</v>
      </c>
      <c r="B8" s="2">
        <v>45160</v>
      </c>
      <c r="C8" s="3">
        <v>12400</v>
      </c>
      <c r="D8" s="3">
        <v>32.020000000000003</v>
      </c>
      <c r="E8" s="3">
        <v>397092</v>
      </c>
      <c r="F8" s="3">
        <v>12400</v>
      </c>
      <c r="G8" s="3">
        <v>22.34</v>
      </c>
      <c r="H8" s="3">
        <f t="shared" si="0"/>
        <v>-9.6800000000000033</v>
      </c>
      <c r="I8" s="3">
        <v>277066</v>
      </c>
      <c r="J8" s="3" t="s">
        <v>1</v>
      </c>
      <c r="K8" s="3" t="s">
        <v>1</v>
      </c>
      <c r="L8" s="3" t="s">
        <v>1</v>
      </c>
      <c r="M8" s="4">
        <v>-120026</v>
      </c>
      <c r="N8" s="5">
        <v>0</v>
      </c>
      <c r="O8" t="str">
        <f t="shared" si="1"/>
        <v>FINNIFTY</v>
      </c>
      <c r="P8" t="str">
        <f>IF(SEARCH("NIFTY",O8),RIGHT(A8,7),0)</f>
        <v>19600PE</v>
      </c>
      <c r="S8">
        <v>-38.26</v>
      </c>
    </row>
    <row r="9" spans="1:19" hidden="1" x14ac:dyDescent="0.3">
      <c r="A9" s="1" t="s">
        <v>8</v>
      </c>
      <c r="B9" s="2">
        <v>45036</v>
      </c>
      <c r="C9" s="3">
        <v>4750</v>
      </c>
      <c r="D9" s="3">
        <v>3.33</v>
      </c>
      <c r="E9" s="3">
        <v>15812.5</v>
      </c>
      <c r="F9" s="3">
        <v>4750</v>
      </c>
      <c r="G9" s="3">
        <v>7.41</v>
      </c>
      <c r="H9" s="3">
        <f t="shared" si="0"/>
        <v>4.08</v>
      </c>
      <c r="I9" s="3">
        <v>35212.5</v>
      </c>
      <c r="J9" s="3" t="s">
        <v>1</v>
      </c>
      <c r="K9" s="3" t="s">
        <v>1</v>
      </c>
      <c r="L9" s="3" t="s">
        <v>1</v>
      </c>
      <c r="M9" s="5">
        <v>19400</v>
      </c>
      <c r="N9" s="5">
        <v>0</v>
      </c>
      <c r="O9" t="str">
        <f t="shared" si="1"/>
        <v>NIFTY</v>
      </c>
      <c r="P9" t="str">
        <f>IF(SEARCH("NIFTY",O9),RIGHT(A9,7),0)</f>
        <v>17700CE</v>
      </c>
      <c r="S9">
        <v>-35.918750000000003</v>
      </c>
    </row>
    <row r="10" spans="1:19" x14ac:dyDescent="0.3">
      <c r="A10" s="1" t="s">
        <v>9</v>
      </c>
      <c r="B10" s="2">
        <v>45050</v>
      </c>
      <c r="C10" s="3">
        <v>1300</v>
      </c>
      <c r="D10" s="3">
        <v>41.52</v>
      </c>
      <c r="E10" s="3">
        <v>53981.25</v>
      </c>
      <c r="F10" s="3">
        <v>1300</v>
      </c>
      <c r="G10" s="3">
        <v>39.979999999999997</v>
      </c>
      <c r="H10" s="3">
        <f t="shared" si="0"/>
        <v>-1.5400000000000063</v>
      </c>
      <c r="I10" s="3">
        <v>51970</v>
      </c>
      <c r="J10" s="3" t="s">
        <v>1</v>
      </c>
      <c r="K10" s="3" t="s">
        <v>1</v>
      </c>
      <c r="L10" s="3" t="s">
        <v>1</v>
      </c>
      <c r="M10" s="4">
        <v>-2011.25</v>
      </c>
      <c r="N10" s="5">
        <v>0</v>
      </c>
      <c r="O10" t="str">
        <f t="shared" si="1"/>
        <v>BANKNIFTY</v>
      </c>
      <c r="P10" t="str">
        <f>IF(SEARCH("NIFTY",O10),RIGHT(A10,7),0)</f>
        <v>42800PE</v>
      </c>
      <c r="Q10">
        <f t="shared" ref="Q10:Q11" si="4">M10/C10</f>
        <v>-1.5471153846153847</v>
      </c>
      <c r="S10">
        <v>-34.81666666666667</v>
      </c>
    </row>
    <row r="11" spans="1:19" x14ac:dyDescent="0.3">
      <c r="A11" s="1" t="s">
        <v>10</v>
      </c>
      <c r="B11" s="2">
        <v>45105</v>
      </c>
      <c r="C11" s="3">
        <v>500</v>
      </c>
      <c r="D11" s="3">
        <v>24.8</v>
      </c>
      <c r="E11" s="3">
        <v>12400</v>
      </c>
      <c r="F11" s="3">
        <v>500</v>
      </c>
      <c r="G11" s="3">
        <v>25.15</v>
      </c>
      <c r="H11" s="3">
        <f t="shared" si="0"/>
        <v>0.34999999999999787</v>
      </c>
      <c r="I11" s="3">
        <v>12575</v>
      </c>
      <c r="J11" s="3" t="s">
        <v>1</v>
      </c>
      <c r="K11" s="3" t="s">
        <v>1</v>
      </c>
      <c r="L11" s="3" t="s">
        <v>1</v>
      </c>
      <c r="M11" s="5">
        <v>175</v>
      </c>
      <c r="N11" s="5">
        <v>0</v>
      </c>
      <c r="O11" t="str">
        <f t="shared" si="1"/>
        <v>BANKNIFTY</v>
      </c>
      <c r="P11" t="str">
        <f>IF(SEARCH("NIFTY",O11),RIGHT(A11,7),0)</f>
        <v>42500PE</v>
      </c>
      <c r="Q11">
        <f t="shared" si="4"/>
        <v>0.35</v>
      </c>
      <c r="S11">
        <v>-33.484999999999999</v>
      </c>
    </row>
    <row r="12" spans="1:19" hidden="1" x14ac:dyDescent="0.3">
      <c r="A12" s="1" t="s">
        <v>11</v>
      </c>
      <c r="B12" s="2">
        <v>45048</v>
      </c>
      <c r="C12" s="3">
        <v>10000</v>
      </c>
      <c r="D12" s="3">
        <v>2.68</v>
      </c>
      <c r="E12" s="3">
        <v>26750</v>
      </c>
      <c r="F12" s="3">
        <v>10000</v>
      </c>
      <c r="G12" s="3">
        <v>2.4900000000000002</v>
      </c>
      <c r="H12" s="3">
        <f t="shared" si="0"/>
        <v>-0.18999999999999995</v>
      </c>
      <c r="I12" s="3">
        <v>24876</v>
      </c>
      <c r="J12" s="3" t="s">
        <v>1</v>
      </c>
      <c r="K12" s="3" t="s">
        <v>1</v>
      </c>
      <c r="L12" s="3" t="s">
        <v>1</v>
      </c>
      <c r="M12" s="4">
        <v>-1874</v>
      </c>
      <c r="N12" s="5">
        <v>0</v>
      </c>
      <c r="O12" t="str">
        <f t="shared" si="1"/>
        <v>FINNIFTY</v>
      </c>
      <c r="P12" t="str">
        <f>IF(SEARCH("NIFTY",O12),RIGHT(A12,7),0)</f>
        <v>19150PE</v>
      </c>
      <c r="S12">
        <v>-30.993333333333332</v>
      </c>
    </row>
    <row r="13" spans="1:19" x14ac:dyDescent="0.3">
      <c r="A13" s="1" t="s">
        <v>12</v>
      </c>
      <c r="B13" s="2">
        <v>45043</v>
      </c>
      <c r="C13" s="3">
        <v>400</v>
      </c>
      <c r="D13" s="3">
        <v>56.55</v>
      </c>
      <c r="E13" s="3">
        <v>22620</v>
      </c>
      <c r="F13" s="3">
        <v>400</v>
      </c>
      <c r="G13" s="3">
        <v>62.04</v>
      </c>
      <c r="H13" s="3">
        <f t="shared" si="0"/>
        <v>5.490000000000002</v>
      </c>
      <c r="I13" s="3">
        <v>24817.5</v>
      </c>
      <c r="J13" s="3" t="s">
        <v>1</v>
      </c>
      <c r="K13" s="3" t="s">
        <v>1</v>
      </c>
      <c r="L13" s="3" t="s">
        <v>1</v>
      </c>
      <c r="M13" s="5">
        <v>2197.5</v>
      </c>
      <c r="N13" s="5">
        <v>0</v>
      </c>
      <c r="O13" t="str">
        <f t="shared" si="1"/>
        <v>BANKNIFTY</v>
      </c>
      <c r="P13" t="str">
        <f>IF(SEARCH("NIFTY",O13),RIGHT(A13,7),0)</f>
        <v>41300PE</v>
      </c>
      <c r="Q13">
        <f t="shared" ref="Q13:Q15" si="5">M13/C13</f>
        <v>5.4937500000000004</v>
      </c>
      <c r="S13">
        <v>-29.05</v>
      </c>
    </row>
    <row r="14" spans="1:19" x14ac:dyDescent="0.3">
      <c r="A14" s="1" t="s">
        <v>13</v>
      </c>
      <c r="B14" s="2">
        <v>45050</v>
      </c>
      <c r="C14" s="3">
        <v>500</v>
      </c>
      <c r="D14" s="3">
        <v>79.59</v>
      </c>
      <c r="E14" s="3">
        <v>39792.5</v>
      </c>
      <c r="F14" s="3">
        <v>500</v>
      </c>
      <c r="G14" s="3">
        <v>95.75</v>
      </c>
      <c r="H14" s="3">
        <f t="shared" si="0"/>
        <v>16.159999999999997</v>
      </c>
      <c r="I14" s="3">
        <v>47875</v>
      </c>
      <c r="J14" s="3" t="s">
        <v>1</v>
      </c>
      <c r="K14" s="3" t="s">
        <v>1</v>
      </c>
      <c r="L14" s="3" t="s">
        <v>1</v>
      </c>
      <c r="M14" s="5">
        <v>8082.5</v>
      </c>
      <c r="N14" s="5">
        <v>0</v>
      </c>
      <c r="O14" t="str">
        <f t="shared" si="1"/>
        <v>BANKNIFTY</v>
      </c>
      <c r="P14" t="str">
        <f>IF(SEARCH("NIFTY",O14),RIGHT(A14,7),0)</f>
        <v>42200PE</v>
      </c>
      <c r="Q14">
        <f t="shared" si="5"/>
        <v>16.164999999999999</v>
      </c>
      <c r="S14">
        <v>-25.321985815602837</v>
      </c>
    </row>
    <row r="15" spans="1:19" x14ac:dyDescent="0.3">
      <c r="A15" s="1" t="s">
        <v>14</v>
      </c>
      <c r="B15" s="2">
        <v>45057</v>
      </c>
      <c r="C15" s="3">
        <v>1700</v>
      </c>
      <c r="D15" s="3">
        <v>24.29</v>
      </c>
      <c r="E15" s="3">
        <v>41288.75</v>
      </c>
      <c r="F15" s="3">
        <v>1700</v>
      </c>
      <c r="G15" s="3">
        <v>19</v>
      </c>
      <c r="H15" s="3">
        <f t="shared" si="0"/>
        <v>-5.2899999999999991</v>
      </c>
      <c r="I15" s="3">
        <v>32292.5</v>
      </c>
      <c r="J15" s="3" t="s">
        <v>1</v>
      </c>
      <c r="K15" s="3" t="s">
        <v>1</v>
      </c>
      <c r="L15" s="3" t="s">
        <v>1</v>
      </c>
      <c r="M15" s="4">
        <v>-8996.25</v>
      </c>
      <c r="N15" s="5">
        <v>0</v>
      </c>
      <c r="O15" t="str">
        <f t="shared" si="1"/>
        <v>BANKNIFTY</v>
      </c>
      <c r="P15" t="str">
        <f>IF(SEARCH("NIFTY",O15),RIGHT(A15,7),0)</f>
        <v>44200CE</v>
      </c>
      <c r="Q15">
        <f t="shared" si="5"/>
        <v>-5.2919117647058824</v>
      </c>
      <c r="S15">
        <v>-25.1</v>
      </c>
    </row>
    <row r="16" spans="1:19" hidden="1" x14ac:dyDescent="0.3">
      <c r="A16" s="1" t="s">
        <v>15</v>
      </c>
      <c r="B16" s="2">
        <v>45105</v>
      </c>
      <c r="C16" s="3">
        <v>300000</v>
      </c>
      <c r="D16" s="3">
        <v>0.47</v>
      </c>
      <c r="E16" s="3">
        <v>141750</v>
      </c>
      <c r="F16" s="3">
        <v>300000</v>
      </c>
      <c r="G16" s="3">
        <v>0</v>
      </c>
      <c r="H16" s="3">
        <f t="shared" si="0"/>
        <v>-0.47</v>
      </c>
      <c r="I16" s="3">
        <v>0</v>
      </c>
      <c r="J16" s="3" t="s">
        <v>1</v>
      </c>
      <c r="K16" s="3" t="s">
        <v>1</v>
      </c>
      <c r="L16" s="3" t="s">
        <v>1</v>
      </c>
      <c r="M16" s="4">
        <v>-141750</v>
      </c>
      <c r="N16" s="5">
        <v>0</v>
      </c>
      <c r="O16" t="e">
        <f t="shared" si="1"/>
        <v>#VALUE!</v>
      </c>
      <c r="P16" t="e">
        <f>IF(SEARCH("NIFTY",O16),RIGHT(A16,7),0)</f>
        <v>#VALUE!</v>
      </c>
      <c r="S16">
        <v>-24.1</v>
      </c>
    </row>
    <row r="17" spans="1:19" x14ac:dyDescent="0.3">
      <c r="A17" s="1" t="s">
        <v>16</v>
      </c>
      <c r="B17" s="2">
        <v>45105</v>
      </c>
      <c r="C17" s="3">
        <v>400</v>
      </c>
      <c r="D17" s="3">
        <v>38.85</v>
      </c>
      <c r="E17" s="3">
        <v>15540</v>
      </c>
      <c r="F17" s="3">
        <v>400</v>
      </c>
      <c r="G17" s="3">
        <v>41.41</v>
      </c>
      <c r="H17" s="3">
        <f t="shared" si="0"/>
        <v>2.5599999999999952</v>
      </c>
      <c r="I17" s="3">
        <v>16565</v>
      </c>
      <c r="J17" s="3" t="s">
        <v>1</v>
      </c>
      <c r="K17" s="3" t="s">
        <v>1</v>
      </c>
      <c r="L17" s="3" t="s">
        <v>1</v>
      </c>
      <c r="M17" s="5">
        <v>1025</v>
      </c>
      <c r="N17" s="5">
        <v>0</v>
      </c>
      <c r="O17" t="str">
        <f t="shared" si="1"/>
        <v>BANKNIFTY</v>
      </c>
      <c r="P17" t="str">
        <f>IF(SEARCH("NIFTY",O17),RIGHT(A17,7),0)</f>
        <v>43000PE</v>
      </c>
      <c r="Q17">
        <f>M17/C17</f>
        <v>2.5625</v>
      </c>
      <c r="S17">
        <v>-23.074999999999999</v>
      </c>
    </row>
    <row r="18" spans="1:19" hidden="1" x14ac:dyDescent="0.3">
      <c r="A18" s="1" t="s">
        <v>17</v>
      </c>
      <c r="B18" s="2">
        <v>45160</v>
      </c>
      <c r="C18" s="3">
        <v>3000</v>
      </c>
      <c r="D18" s="3">
        <v>3.87</v>
      </c>
      <c r="E18" s="3">
        <v>11610</v>
      </c>
      <c r="F18" s="3">
        <v>3000</v>
      </c>
      <c r="G18" s="3">
        <v>0.1</v>
      </c>
      <c r="H18" s="3">
        <f t="shared" si="0"/>
        <v>-3.77</v>
      </c>
      <c r="I18" s="3">
        <v>300</v>
      </c>
      <c r="J18" s="3" t="s">
        <v>1</v>
      </c>
      <c r="K18" s="3" t="s">
        <v>1</v>
      </c>
      <c r="L18" s="3" t="s">
        <v>1</v>
      </c>
      <c r="M18" s="4">
        <v>-11310</v>
      </c>
      <c r="N18" s="5">
        <v>0</v>
      </c>
      <c r="O18" t="str">
        <f t="shared" si="1"/>
        <v>FINNIFTY</v>
      </c>
      <c r="P18" t="str">
        <f>IF(SEARCH("NIFTY",O18),RIGHT(A18,7),0)</f>
        <v>19750CE</v>
      </c>
      <c r="S18">
        <v>-21.518103448275863</v>
      </c>
    </row>
    <row r="19" spans="1:19" hidden="1" x14ac:dyDescent="0.3">
      <c r="A19" s="1" t="s">
        <v>18</v>
      </c>
      <c r="B19" s="2">
        <v>45036</v>
      </c>
      <c r="C19" s="3">
        <v>6500</v>
      </c>
      <c r="D19" s="3">
        <v>3.13</v>
      </c>
      <c r="E19" s="3">
        <v>20370</v>
      </c>
      <c r="F19" s="3">
        <v>6500</v>
      </c>
      <c r="G19" s="3">
        <v>2.99</v>
      </c>
      <c r="H19" s="3">
        <f t="shared" si="0"/>
        <v>-0.13999999999999968</v>
      </c>
      <c r="I19" s="3">
        <v>19440</v>
      </c>
      <c r="J19" s="3" t="s">
        <v>1</v>
      </c>
      <c r="K19" s="3" t="s">
        <v>1</v>
      </c>
      <c r="L19" s="3" t="s">
        <v>1</v>
      </c>
      <c r="M19" s="4">
        <v>-930</v>
      </c>
      <c r="N19" s="5">
        <v>0</v>
      </c>
      <c r="O19" t="str">
        <f t="shared" si="1"/>
        <v>NIFTY</v>
      </c>
      <c r="P19" t="str">
        <f>IF(SEARCH("NIFTY",O19),RIGHT(A19,7),0)</f>
        <v>17750CE</v>
      </c>
      <c r="S19">
        <v>-19.220833333333335</v>
      </c>
    </row>
    <row r="20" spans="1:19" hidden="1" x14ac:dyDescent="0.3">
      <c r="A20" s="1" t="s">
        <v>19</v>
      </c>
      <c r="B20" s="2">
        <v>45034</v>
      </c>
      <c r="C20" s="3">
        <v>2400</v>
      </c>
      <c r="D20" s="3">
        <v>2.54</v>
      </c>
      <c r="E20" s="3">
        <v>6090</v>
      </c>
      <c r="F20" s="3">
        <v>2400</v>
      </c>
      <c r="G20" s="3">
        <v>4.2</v>
      </c>
      <c r="H20" s="3">
        <f t="shared" si="0"/>
        <v>1.6600000000000001</v>
      </c>
      <c r="I20" s="3">
        <v>10088</v>
      </c>
      <c r="J20" s="3" t="s">
        <v>1</v>
      </c>
      <c r="K20" s="3" t="s">
        <v>1</v>
      </c>
      <c r="L20" s="3" t="s">
        <v>1</v>
      </c>
      <c r="M20" s="5">
        <v>3998</v>
      </c>
      <c r="N20" s="5">
        <v>0</v>
      </c>
      <c r="O20" t="str">
        <f t="shared" si="1"/>
        <v>FINNIFTY</v>
      </c>
      <c r="P20" t="str">
        <f>IF(SEARCH("NIFTY",O20),RIGHT(A20,7),0)</f>
        <v>18700PE</v>
      </c>
      <c r="S20">
        <v>-18.054901960784314</v>
      </c>
    </row>
    <row r="21" spans="1:19" hidden="1" x14ac:dyDescent="0.3">
      <c r="A21" s="1" t="s">
        <v>20</v>
      </c>
      <c r="B21" s="2">
        <v>45057</v>
      </c>
      <c r="C21" s="3">
        <v>2400</v>
      </c>
      <c r="D21" s="3">
        <v>87.83</v>
      </c>
      <c r="E21" s="3">
        <v>210787.5</v>
      </c>
      <c r="F21" s="3">
        <v>2400</v>
      </c>
      <c r="G21" s="3">
        <v>81.400000000000006</v>
      </c>
      <c r="H21" s="3">
        <f t="shared" si="0"/>
        <v>-6.4299999999999926</v>
      </c>
      <c r="I21" s="3">
        <v>195370</v>
      </c>
      <c r="J21" s="3" t="s">
        <v>1</v>
      </c>
      <c r="K21" s="3" t="s">
        <v>1</v>
      </c>
      <c r="L21" s="3" t="s">
        <v>1</v>
      </c>
      <c r="M21" s="4">
        <v>-15417.5</v>
      </c>
      <c r="N21" s="5">
        <v>0</v>
      </c>
      <c r="O21" t="str">
        <f t="shared" si="1"/>
        <v>NIFTY</v>
      </c>
      <c r="P21" t="str">
        <f>IF(SEARCH("NIFTY",O21),RIGHT(A21,7),0)</f>
        <v>18200CE</v>
      </c>
      <c r="S21">
        <v>-17.71125</v>
      </c>
    </row>
    <row r="22" spans="1:19" x14ac:dyDescent="0.3">
      <c r="A22" s="1" t="s">
        <v>21</v>
      </c>
      <c r="B22" s="2">
        <v>45078</v>
      </c>
      <c r="C22" s="3">
        <v>1700</v>
      </c>
      <c r="D22" s="3">
        <v>29.97</v>
      </c>
      <c r="E22" s="3">
        <v>50950</v>
      </c>
      <c r="F22" s="3">
        <v>1700</v>
      </c>
      <c r="G22" s="3">
        <v>26.18</v>
      </c>
      <c r="H22" s="3">
        <f t="shared" si="0"/>
        <v>-3.7899999999999991</v>
      </c>
      <c r="I22" s="3">
        <v>44507.5</v>
      </c>
      <c r="J22" s="3" t="s">
        <v>1</v>
      </c>
      <c r="K22" s="3" t="s">
        <v>1</v>
      </c>
      <c r="L22" s="3" t="s">
        <v>1</v>
      </c>
      <c r="M22" s="4">
        <v>-6442.5</v>
      </c>
      <c r="N22" s="5">
        <v>0</v>
      </c>
      <c r="O22" t="str">
        <f t="shared" si="1"/>
        <v>BANKNIFTY</v>
      </c>
      <c r="P22" t="str">
        <f>IF(SEARCH("NIFTY",O22),RIGHT(A22,7),0)</f>
        <v>44500CE</v>
      </c>
      <c r="Q22">
        <f t="shared" ref="Q22:Q28" si="6">M22/C22</f>
        <v>-3.789705882352941</v>
      </c>
      <c r="S22">
        <v>-16.327272727272728</v>
      </c>
    </row>
    <row r="23" spans="1:19" x14ac:dyDescent="0.3">
      <c r="A23" s="1" t="s">
        <v>22</v>
      </c>
      <c r="B23" s="2">
        <v>45071</v>
      </c>
      <c r="C23" s="3">
        <v>2200</v>
      </c>
      <c r="D23" s="3">
        <v>17.010000000000002</v>
      </c>
      <c r="E23" s="3">
        <v>37420</v>
      </c>
      <c r="F23" s="3">
        <v>2200</v>
      </c>
      <c r="G23" s="3">
        <v>12.9</v>
      </c>
      <c r="H23" s="3">
        <f t="shared" si="0"/>
        <v>-4.1100000000000012</v>
      </c>
      <c r="I23" s="3">
        <v>28378.75</v>
      </c>
      <c r="J23" s="3" t="s">
        <v>1</v>
      </c>
      <c r="K23" s="3" t="s">
        <v>1</v>
      </c>
      <c r="L23" s="3" t="s">
        <v>1</v>
      </c>
      <c r="M23" s="4">
        <v>-9041.25</v>
      </c>
      <c r="N23" s="5">
        <v>0</v>
      </c>
      <c r="O23" t="str">
        <f t="shared" si="1"/>
        <v>BANKNIFTY</v>
      </c>
      <c r="P23" t="str">
        <f>IF(SEARCH("NIFTY",O23),RIGHT(A23,7),0)</f>
        <v>43200PE</v>
      </c>
      <c r="Q23">
        <f t="shared" si="6"/>
        <v>-4.1096590909090907</v>
      </c>
      <c r="S23">
        <v>-16.041250000000002</v>
      </c>
    </row>
    <row r="24" spans="1:19" x14ac:dyDescent="0.3">
      <c r="A24" s="1" t="s">
        <v>23</v>
      </c>
      <c r="B24" s="2">
        <v>45092</v>
      </c>
      <c r="C24" s="3">
        <v>1000</v>
      </c>
      <c r="D24" s="3">
        <v>118.78</v>
      </c>
      <c r="E24" s="3">
        <v>118780</v>
      </c>
      <c r="F24" s="3">
        <v>1000</v>
      </c>
      <c r="G24" s="3">
        <v>129.75</v>
      </c>
      <c r="H24" s="3">
        <f t="shared" si="0"/>
        <v>10.969999999999999</v>
      </c>
      <c r="I24" s="3">
        <v>129748.75</v>
      </c>
      <c r="J24" s="3" t="s">
        <v>1</v>
      </c>
      <c r="K24" s="3" t="s">
        <v>1</v>
      </c>
      <c r="L24" s="3" t="s">
        <v>1</v>
      </c>
      <c r="M24" s="5">
        <v>10968.75</v>
      </c>
      <c r="N24" s="5">
        <v>0</v>
      </c>
      <c r="O24" t="str">
        <f t="shared" si="1"/>
        <v>BANKNIFTY</v>
      </c>
      <c r="P24" t="str">
        <f>IF(SEARCH("NIFTY",O24),RIGHT(A24,7),0)</f>
        <v>44000PE</v>
      </c>
      <c r="Q24">
        <f t="shared" si="6"/>
        <v>10.96875</v>
      </c>
      <c r="S24">
        <v>-15.608571428571429</v>
      </c>
    </row>
    <row r="25" spans="1:19" x14ac:dyDescent="0.3">
      <c r="A25" s="1" t="s">
        <v>24</v>
      </c>
      <c r="B25" s="2">
        <v>45134</v>
      </c>
      <c r="C25" s="3">
        <v>450</v>
      </c>
      <c r="D25" s="3">
        <v>26.6</v>
      </c>
      <c r="E25" s="3">
        <v>11970</v>
      </c>
      <c r="F25" s="3">
        <v>450</v>
      </c>
      <c r="G25" s="3">
        <v>22.82</v>
      </c>
      <c r="H25" s="3">
        <f t="shared" si="0"/>
        <v>-3.7800000000000011</v>
      </c>
      <c r="I25" s="3">
        <v>10269.75</v>
      </c>
      <c r="J25" s="3" t="s">
        <v>1</v>
      </c>
      <c r="K25" s="3" t="s">
        <v>1</v>
      </c>
      <c r="L25" s="3" t="s">
        <v>1</v>
      </c>
      <c r="M25" s="4">
        <v>-1700.25</v>
      </c>
      <c r="N25" s="5">
        <v>0</v>
      </c>
      <c r="O25" t="str">
        <f t="shared" si="1"/>
        <v>BANKNIFTY</v>
      </c>
      <c r="P25" t="str">
        <f>IF(SEARCH("NIFTY",O25),RIGHT(A25,7),0)</f>
        <v>45300PE</v>
      </c>
      <c r="Q25">
        <f t="shared" si="6"/>
        <v>-3.7783333333333333</v>
      </c>
      <c r="S25">
        <v>-15.436111111111112</v>
      </c>
    </row>
    <row r="26" spans="1:19" x14ac:dyDescent="0.3">
      <c r="A26" s="1" t="s">
        <v>25</v>
      </c>
      <c r="B26" s="2">
        <v>45043</v>
      </c>
      <c r="C26" s="3">
        <v>500</v>
      </c>
      <c r="D26" s="3">
        <v>37.07</v>
      </c>
      <c r="E26" s="3">
        <v>18532.5</v>
      </c>
      <c r="F26" s="3">
        <v>500</v>
      </c>
      <c r="G26" s="3">
        <v>45.8</v>
      </c>
      <c r="H26" s="3">
        <f t="shared" si="0"/>
        <v>8.7299999999999969</v>
      </c>
      <c r="I26" s="3">
        <v>22900</v>
      </c>
      <c r="J26" s="3" t="s">
        <v>1</v>
      </c>
      <c r="K26" s="3" t="s">
        <v>1</v>
      </c>
      <c r="L26" s="3" t="s">
        <v>1</v>
      </c>
      <c r="M26" s="5">
        <v>4367.5</v>
      </c>
      <c r="N26" s="5">
        <v>0</v>
      </c>
      <c r="O26" t="str">
        <f t="shared" si="1"/>
        <v>BANKNIFTY</v>
      </c>
      <c r="P26" t="str">
        <f>IF(SEARCH("NIFTY",O26),RIGHT(A26,7),0)</f>
        <v>41800PE</v>
      </c>
      <c r="Q26">
        <f t="shared" si="6"/>
        <v>8.7349999999999994</v>
      </c>
      <c r="S26">
        <v>-15.125</v>
      </c>
    </row>
    <row r="27" spans="1:19" x14ac:dyDescent="0.3">
      <c r="A27" s="1" t="s">
        <v>26</v>
      </c>
      <c r="B27" s="2">
        <v>45092</v>
      </c>
      <c r="C27" s="3">
        <v>1000</v>
      </c>
      <c r="D27" s="3">
        <v>52.4</v>
      </c>
      <c r="E27" s="3">
        <v>52400</v>
      </c>
      <c r="F27" s="3">
        <v>1000</v>
      </c>
      <c r="G27" s="3">
        <v>49.77</v>
      </c>
      <c r="H27" s="3">
        <f t="shared" si="0"/>
        <v>-2.6299999999999955</v>
      </c>
      <c r="I27" s="3">
        <v>49765</v>
      </c>
      <c r="J27" s="3" t="s">
        <v>1</v>
      </c>
      <c r="K27" s="3" t="s">
        <v>1</v>
      </c>
      <c r="L27" s="3" t="s">
        <v>1</v>
      </c>
      <c r="M27" s="4">
        <v>-2635</v>
      </c>
      <c r="N27" s="5">
        <v>0</v>
      </c>
      <c r="O27" t="str">
        <f t="shared" si="1"/>
        <v>BANKNIFTY</v>
      </c>
      <c r="P27" t="str">
        <f>IF(SEARCH("NIFTY",O27),RIGHT(A27,7),0)</f>
        <v>44800CE</v>
      </c>
      <c r="Q27">
        <f t="shared" si="6"/>
        <v>-2.6349999999999998</v>
      </c>
      <c r="S27">
        <v>-14.511111111111111</v>
      </c>
    </row>
    <row r="28" spans="1:19" x14ac:dyDescent="0.3">
      <c r="A28" s="1" t="s">
        <v>27</v>
      </c>
      <c r="B28" s="2">
        <v>45120</v>
      </c>
      <c r="C28" s="3">
        <v>3000</v>
      </c>
      <c r="D28" s="3">
        <v>25.72</v>
      </c>
      <c r="E28" s="3">
        <v>77165</v>
      </c>
      <c r="F28" s="3">
        <v>3000</v>
      </c>
      <c r="G28" s="3">
        <v>8.01</v>
      </c>
      <c r="H28" s="3">
        <f t="shared" si="0"/>
        <v>-17.71</v>
      </c>
      <c r="I28" s="3">
        <v>24031.25</v>
      </c>
      <c r="J28" s="3" t="s">
        <v>1</v>
      </c>
      <c r="K28" s="3" t="s">
        <v>1</v>
      </c>
      <c r="L28" s="3" t="s">
        <v>1</v>
      </c>
      <c r="M28" s="4">
        <v>-53133.75</v>
      </c>
      <c r="N28" s="5">
        <v>0</v>
      </c>
      <c r="O28" t="str">
        <f t="shared" si="1"/>
        <v>BANKNIFTY</v>
      </c>
      <c r="P28" t="str">
        <f>IF(SEARCH("NIFTY",O28),RIGHT(A28,7),0)</f>
        <v>44400PE</v>
      </c>
      <c r="Q28">
        <f t="shared" si="6"/>
        <v>-17.71125</v>
      </c>
      <c r="S28">
        <v>-14.3375</v>
      </c>
    </row>
    <row r="29" spans="1:19" hidden="1" x14ac:dyDescent="0.3">
      <c r="A29" s="1" t="s">
        <v>28</v>
      </c>
      <c r="B29" s="2">
        <v>45078</v>
      </c>
      <c r="C29" s="3">
        <v>3000</v>
      </c>
      <c r="D29" s="3">
        <v>60.12</v>
      </c>
      <c r="E29" s="3">
        <v>180360</v>
      </c>
      <c r="F29" s="3">
        <v>3000</v>
      </c>
      <c r="G29" s="3">
        <v>55.28</v>
      </c>
      <c r="H29" s="3">
        <f t="shared" si="0"/>
        <v>-4.8399999999999963</v>
      </c>
      <c r="I29" s="3">
        <v>165840</v>
      </c>
      <c r="J29" s="3" t="s">
        <v>1</v>
      </c>
      <c r="K29" s="3" t="s">
        <v>1</v>
      </c>
      <c r="L29" s="3" t="s">
        <v>1</v>
      </c>
      <c r="M29" s="4">
        <v>-14520</v>
      </c>
      <c r="N29" s="5">
        <v>0</v>
      </c>
      <c r="O29" t="str">
        <f t="shared" si="1"/>
        <v>NIFTY</v>
      </c>
      <c r="P29" t="str">
        <f>IF(SEARCH("NIFTY",O29),RIGHT(A29,7),0)</f>
        <v>18600PE</v>
      </c>
      <c r="S29">
        <v>-14.27361111111111</v>
      </c>
    </row>
    <row r="30" spans="1:19" hidden="1" x14ac:dyDescent="0.3">
      <c r="A30" s="1" t="s">
        <v>29</v>
      </c>
      <c r="B30" s="2">
        <v>45132</v>
      </c>
      <c r="C30" s="3">
        <v>280</v>
      </c>
      <c r="D30" s="3">
        <v>85.64</v>
      </c>
      <c r="E30" s="3">
        <v>23978</v>
      </c>
      <c r="F30" s="3">
        <v>280</v>
      </c>
      <c r="G30" s="3">
        <v>76.08</v>
      </c>
      <c r="H30" s="3">
        <f t="shared" si="0"/>
        <v>-9.5600000000000023</v>
      </c>
      <c r="I30" s="3">
        <v>21302</v>
      </c>
      <c r="J30" s="3" t="s">
        <v>1</v>
      </c>
      <c r="K30" s="3" t="s">
        <v>1</v>
      </c>
      <c r="L30" s="3" t="s">
        <v>1</v>
      </c>
      <c r="M30" s="4">
        <v>-2676</v>
      </c>
      <c r="N30" s="5">
        <v>0</v>
      </c>
      <c r="O30" t="str">
        <f t="shared" si="1"/>
        <v>FINNIFTY</v>
      </c>
      <c r="P30" t="str">
        <f>IF(SEARCH("NIFTY",O30),RIGHT(A30,7),0)</f>
        <v>20600PE</v>
      </c>
      <c r="S30">
        <v>-14.248412698412698</v>
      </c>
    </row>
    <row r="31" spans="1:19" x14ac:dyDescent="0.3">
      <c r="A31" s="1" t="s">
        <v>30</v>
      </c>
      <c r="B31" s="2">
        <v>45113</v>
      </c>
      <c r="C31" s="3">
        <v>1350</v>
      </c>
      <c r="D31" s="3">
        <v>8.1999999999999993</v>
      </c>
      <c r="E31" s="3">
        <v>11067.5</v>
      </c>
      <c r="F31" s="3">
        <v>1350</v>
      </c>
      <c r="G31" s="3">
        <v>6.35</v>
      </c>
      <c r="H31" s="3">
        <f t="shared" si="0"/>
        <v>-1.8499999999999996</v>
      </c>
      <c r="I31" s="3">
        <v>8568.75</v>
      </c>
      <c r="J31" s="3" t="s">
        <v>1</v>
      </c>
      <c r="K31" s="3" t="s">
        <v>1</v>
      </c>
      <c r="L31" s="3" t="s">
        <v>1</v>
      </c>
      <c r="M31" s="4">
        <v>-2498.75</v>
      </c>
      <c r="N31" s="5">
        <v>0</v>
      </c>
      <c r="O31" t="str">
        <f t="shared" si="1"/>
        <v>BANKNIFTY</v>
      </c>
      <c r="P31" t="str">
        <f>IF(SEARCH("NIFTY",O31),RIGHT(A31,7),0)</f>
        <v>46200CE</v>
      </c>
      <c r="Q31">
        <f t="shared" ref="Q31:Q32" si="7">M31/C31</f>
        <v>-1.8509259259259259</v>
      </c>
      <c r="S31">
        <v>-13.56875</v>
      </c>
    </row>
    <row r="32" spans="1:19" x14ac:dyDescent="0.3">
      <c r="A32" s="1" t="s">
        <v>31</v>
      </c>
      <c r="B32" s="2">
        <v>45120</v>
      </c>
      <c r="C32" s="3">
        <v>1900</v>
      </c>
      <c r="D32" s="3">
        <v>69.540000000000006</v>
      </c>
      <c r="E32" s="3">
        <v>132118.75</v>
      </c>
      <c r="F32" s="3">
        <v>1900</v>
      </c>
      <c r="G32" s="3">
        <v>67.739999999999995</v>
      </c>
      <c r="H32" s="3">
        <f t="shared" si="0"/>
        <v>-1.8000000000000114</v>
      </c>
      <c r="I32" s="3">
        <v>128700</v>
      </c>
      <c r="J32" s="3" t="s">
        <v>1</v>
      </c>
      <c r="K32" s="3" t="s">
        <v>1</v>
      </c>
      <c r="L32" s="3" t="s">
        <v>1</v>
      </c>
      <c r="M32" s="4">
        <v>-3418.75</v>
      </c>
      <c r="N32" s="5">
        <v>0</v>
      </c>
      <c r="O32" t="str">
        <f t="shared" si="1"/>
        <v>BANKNIFTY</v>
      </c>
      <c r="P32" t="str">
        <f>IF(SEARCH("NIFTY",O32),RIGHT(A32,7),0)</f>
        <v>44300PE</v>
      </c>
      <c r="Q32">
        <f t="shared" si="7"/>
        <v>-1.799342105263158</v>
      </c>
      <c r="S32">
        <v>-13.4375</v>
      </c>
    </row>
    <row r="33" spans="1:19" hidden="1" x14ac:dyDescent="0.3">
      <c r="A33" s="1" t="s">
        <v>32</v>
      </c>
      <c r="B33" s="2">
        <v>45156</v>
      </c>
      <c r="C33" s="3">
        <v>270</v>
      </c>
      <c r="D33" s="3">
        <v>0.05</v>
      </c>
      <c r="E33" s="3">
        <v>13.5</v>
      </c>
      <c r="F33" s="3">
        <v>270</v>
      </c>
      <c r="G33" s="3">
        <v>17.850000000000001</v>
      </c>
      <c r="H33" s="3">
        <f t="shared" si="0"/>
        <v>17.8</v>
      </c>
      <c r="I33" s="3">
        <v>4819.5</v>
      </c>
      <c r="J33" s="3" t="s">
        <v>1</v>
      </c>
      <c r="K33" s="3" t="s">
        <v>1</v>
      </c>
      <c r="L33" s="3" t="s">
        <v>1</v>
      </c>
      <c r="M33" s="5">
        <v>4806</v>
      </c>
      <c r="N33" s="5">
        <v>0</v>
      </c>
      <c r="O33" t="e">
        <f t="shared" si="1"/>
        <v>#VALUE!</v>
      </c>
      <c r="P33" t="e">
        <f>IF(SEARCH("NIFTY",O33),RIGHT(A33,7),0)</f>
        <v>#VALUE!</v>
      </c>
      <c r="S33">
        <v>-13.033333333333333</v>
      </c>
    </row>
    <row r="34" spans="1:19" x14ac:dyDescent="0.3">
      <c r="A34" s="1" t="s">
        <v>33</v>
      </c>
      <c r="B34" s="2">
        <v>45092</v>
      </c>
      <c r="C34" s="3">
        <v>1000</v>
      </c>
      <c r="D34" s="3">
        <v>38.840000000000003</v>
      </c>
      <c r="E34" s="3">
        <v>38840</v>
      </c>
      <c r="F34" s="3">
        <v>1000</v>
      </c>
      <c r="G34" s="3">
        <v>22.8</v>
      </c>
      <c r="H34" s="3">
        <f t="shared" si="0"/>
        <v>-16.040000000000003</v>
      </c>
      <c r="I34" s="3">
        <v>22798.75</v>
      </c>
      <c r="J34" s="3" t="s">
        <v>1</v>
      </c>
      <c r="K34" s="3" t="s">
        <v>1</v>
      </c>
      <c r="L34" s="3" t="s">
        <v>1</v>
      </c>
      <c r="M34" s="4">
        <v>-16041.25</v>
      </c>
      <c r="N34" s="5">
        <v>0</v>
      </c>
      <c r="O34" t="str">
        <f t="shared" si="1"/>
        <v>BANKNIFTY</v>
      </c>
      <c r="P34" t="str">
        <f>IF(SEARCH("NIFTY",O34),RIGHT(A34,7),0)</f>
        <v>43700PE</v>
      </c>
      <c r="Q34">
        <f>M34/C34</f>
        <v>-16.041250000000002</v>
      </c>
      <c r="S34">
        <v>-12.36</v>
      </c>
    </row>
    <row r="35" spans="1:19" hidden="1" x14ac:dyDescent="0.3">
      <c r="A35" s="1" t="s">
        <v>34</v>
      </c>
      <c r="B35" s="2">
        <v>45078</v>
      </c>
      <c r="C35" s="3">
        <v>3000</v>
      </c>
      <c r="D35" s="3">
        <v>2.2000000000000002</v>
      </c>
      <c r="E35" s="3">
        <v>6600</v>
      </c>
      <c r="F35" s="3">
        <v>3000</v>
      </c>
      <c r="G35" s="3">
        <v>2.9</v>
      </c>
      <c r="H35" s="3">
        <f t="shared" si="0"/>
        <v>0.69999999999999973</v>
      </c>
      <c r="I35" s="3">
        <v>8700</v>
      </c>
      <c r="J35" s="3" t="s">
        <v>1</v>
      </c>
      <c r="K35" s="3" t="s">
        <v>1</v>
      </c>
      <c r="L35" s="3" t="s">
        <v>1</v>
      </c>
      <c r="M35" s="5">
        <v>2100</v>
      </c>
      <c r="N35" s="5">
        <v>0</v>
      </c>
      <c r="O35" t="str">
        <f t="shared" si="1"/>
        <v>NIFTY</v>
      </c>
      <c r="P35" t="str">
        <f>IF(SEARCH("NIFTY",O35),RIGHT(A35,7),0)</f>
        <v>18700CE</v>
      </c>
      <c r="S35">
        <v>-12.096875000000001</v>
      </c>
    </row>
    <row r="36" spans="1:19" x14ac:dyDescent="0.3">
      <c r="A36" s="1" t="s">
        <v>35</v>
      </c>
      <c r="B36" s="2">
        <v>45134</v>
      </c>
      <c r="C36" s="3">
        <v>120</v>
      </c>
      <c r="D36" s="3">
        <v>99.65</v>
      </c>
      <c r="E36" s="3">
        <v>11958</v>
      </c>
      <c r="F36" s="3">
        <v>120</v>
      </c>
      <c r="G36" s="3">
        <v>75.55</v>
      </c>
      <c r="H36" s="3">
        <f t="shared" si="0"/>
        <v>-24.100000000000009</v>
      </c>
      <c r="I36" s="3">
        <v>9066</v>
      </c>
      <c r="J36" s="3" t="s">
        <v>1</v>
      </c>
      <c r="K36" s="3" t="s">
        <v>1</v>
      </c>
      <c r="L36" s="3" t="s">
        <v>1</v>
      </c>
      <c r="M36" s="4">
        <v>-2892</v>
      </c>
      <c r="N36" s="5">
        <v>0</v>
      </c>
      <c r="O36" t="str">
        <f t="shared" si="1"/>
        <v>BANKNIFTY</v>
      </c>
      <c r="P36" t="str">
        <f>IF(SEARCH("NIFTY",O36),RIGHT(A36,7),0)</f>
        <v>46600CE</v>
      </c>
      <c r="Q36">
        <f>M36/C36</f>
        <v>-24.1</v>
      </c>
      <c r="S36">
        <v>-11.904999999999999</v>
      </c>
    </row>
    <row r="37" spans="1:19" hidden="1" x14ac:dyDescent="0.3">
      <c r="A37" s="1" t="s">
        <v>36</v>
      </c>
      <c r="B37" s="2">
        <v>45071</v>
      </c>
      <c r="C37" s="3">
        <v>25600</v>
      </c>
      <c r="D37" s="3">
        <v>16.440000000000001</v>
      </c>
      <c r="E37" s="3">
        <v>420800</v>
      </c>
      <c r="F37" s="3">
        <v>25600</v>
      </c>
      <c r="G37" s="3">
        <v>20.03</v>
      </c>
      <c r="H37" s="3">
        <f t="shared" si="0"/>
        <v>3.59</v>
      </c>
      <c r="I37" s="3">
        <v>512800</v>
      </c>
      <c r="J37" s="3" t="s">
        <v>1</v>
      </c>
      <c r="K37" s="3" t="s">
        <v>1</v>
      </c>
      <c r="L37" s="3" t="s">
        <v>1</v>
      </c>
      <c r="M37" s="5">
        <v>92000</v>
      </c>
      <c r="N37" s="5">
        <v>0</v>
      </c>
      <c r="O37" t="e">
        <f t="shared" si="1"/>
        <v>#VALUE!</v>
      </c>
      <c r="P37" t="e">
        <f>IF(SEARCH("NIFTY",O37),RIGHT(A37,7),0)</f>
        <v>#VALUE!</v>
      </c>
      <c r="S37">
        <v>-11.315</v>
      </c>
    </row>
    <row r="38" spans="1:19" hidden="1" x14ac:dyDescent="0.3">
      <c r="A38" s="1" t="s">
        <v>37</v>
      </c>
      <c r="B38" s="2">
        <v>45162</v>
      </c>
      <c r="C38" s="3">
        <v>4500</v>
      </c>
      <c r="D38" s="3">
        <v>26.96</v>
      </c>
      <c r="E38" s="3">
        <v>121310</v>
      </c>
      <c r="F38" s="3">
        <v>4500</v>
      </c>
      <c r="G38" s="3">
        <v>24.72</v>
      </c>
      <c r="H38" s="3">
        <f t="shared" si="0"/>
        <v>-2.240000000000002</v>
      </c>
      <c r="I38" s="3">
        <v>111225</v>
      </c>
      <c r="J38" s="3" t="s">
        <v>1</v>
      </c>
      <c r="K38" s="3" t="s">
        <v>1</v>
      </c>
      <c r="L38" s="3" t="s">
        <v>1</v>
      </c>
      <c r="M38" s="4">
        <v>-10085</v>
      </c>
      <c r="N38" s="5">
        <v>0</v>
      </c>
      <c r="O38" t="str">
        <f t="shared" si="1"/>
        <v>NIFTY</v>
      </c>
      <c r="P38" t="str">
        <f>IF(SEARCH("NIFTY",O38),RIGHT(A38,7),0)</f>
        <v>19450CE</v>
      </c>
      <c r="S38">
        <v>-11.304761904761905</v>
      </c>
    </row>
    <row r="39" spans="1:19" hidden="1" x14ac:dyDescent="0.3">
      <c r="A39" s="1" t="s">
        <v>38</v>
      </c>
      <c r="B39" s="2">
        <v>45169</v>
      </c>
      <c r="C39" s="3">
        <v>2000</v>
      </c>
      <c r="D39" s="3">
        <v>5712.41</v>
      </c>
      <c r="E39" s="3">
        <v>11424818.75</v>
      </c>
      <c r="F39" s="3">
        <v>2000</v>
      </c>
      <c r="G39" s="3">
        <v>5701.42</v>
      </c>
      <c r="H39" s="3">
        <f t="shared" si="0"/>
        <v>-10.989999999999782</v>
      </c>
      <c r="I39" s="3">
        <v>11402831.25</v>
      </c>
      <c r="J39" s="3" t="s">
        <v>1</v>
      </c>
      <c r="K39" s="3" t="s">
        <v>1</v>
      </c>
      <c r="L39" s="3" t="s">
        <v>1</v>
      </c>
      <c r="M39" s="4">
        <v>-21987.5</v>
      </c>
      <c r="N39" s="5">
        <v>0</v>
      </c>
      <c r="O39" t="e">
        <f t="shared" si="1"/>
        <v>#VALUE!</v>
      </c>
      <c r="P39" t="e">
        <f>IF(SEARCH("NIFTY",O39),RIGHT(A39,7),0)</f>
        <v>#VALUE!</v>
      </c>
      <c r="S39">
        <v>-10.868333333333334</v>
      </c>
    </row>
    <row r="40" spans="1:19" x14ac:dyDescent="0.3">
      <c r="A40" s="1" t="s">
        <v>39</v>
      </c>
      <c r="B40" s="2">
        <v>45043</v>
      </c>
      <c r="C40" s="3">
        <v>1800</v>
      </c>
      <c r="D40" s="3">
        <v>32.71</v>
      </c>
      <c r="E40" s="3">
        <v>58870</v>
      </c>
      <c r="F40" s="3">
        <v>1800</v>
      </c>
      <c r="G40" s="3">
        <v>35.53</v>
      </c>
      <c r="H40" s="3">
        <f t="shared" si="0"/>
        <v>2.8200000000000003</v>
      </c>
      <c r="I40" s="3">
        <v>63950</v>
      </c>
      <c r="J40" s="3" t="s">
        <v>1</v>
      </c>
      <c r="K40" s="3" t="s">
        <v>1</v>
      </c>
      <c r="L40" s="3" t="s">
        <v>1</v>
      </c>
      <c r="M40" s="5">
        <v>5080</v>
      </c>
      <c r="N40" s="5">
        <v>0</v>
      </c>
      <c r="O40" t="str">
        <f t="shared" si="1"/>
        <v>BANKNIFTY</v>
      </c>
      <c r="P40" t="str">
        <f>IF(SEARCH("NIFTY",O40),RIGHT(A40,7),0)</f>
        <v>41000PE</v>
      </c>
      <c r="Q40">
        <f>M40/C40</f>
        <v>2.8222222222222224</v>
      </c>
      <c r="S40">
        <v>-10.509375</v>
      </c>
    </row>
    <row r="41" spans="1:19" hidden="1" x14ac:dyDescent="0.3">
      <c r="A41" s="1" t="s">
        <v>40</v>
      </c>
      <c r="B41" s="2">
        <v>45105</v>
      </c>
      <c r="C41" s="3">
        <v>3000</v>
      </c>
      <c r="D41" s="3">
        <v>4.17</v>
      </c>
      <c r="E41" s="3">
        <v>12500</v>
      </c>
      <c r="F41" s="3">
        <v>3000</v>
      </c>
      <c r="G41" s="3">
        <v>4.42</v>
      </c>
      <c r="H41" s="3">
        <f t="shared" si="0"/>
        <v>0.25</v>
      </c>
      <c r="I41" s="3">
        <v>13250</v>
      </c>
      <c r="J41" s="3" t="s">
        <v>1</v>
      </c>
      <c r="K41" s="3" t="s">
        <v>1</v>
      </c>
      <c r="L41" s="3" t="s">
        <v>1</v>
      </c>
      <c r="M41" s="5">
        <v>750</v>
      </c>
      <c r="N41" s="5">
        <v>0</v>
      </c>
      <c r="O41" t="str">
        <f t="shared" si="1"/>
        <v>NIFTY</v>
      </c>
      <c r="P41" t="str">
        <f>IF(SEARCH("NIFTY",O41),RIGHT(A41,7),0)</f>
        <v>18800PE</v>
      </c>
      <c r="S41">
        <v>-9.2107142857142854</v>
      </c>
    </row>
    <row r="42" spans="1:19" x14ac:dyDescent="0.3">
      <c r="A42" s="1" t="s">
        <v>41</v>
      </c>
      <c r="B42" s="2">
        <v>45113</v>
      </c>
      <c r="C42" s="3">
        <v>300</v>
      </c>
      <c r="D42" s="3">
        <v>118.05</v>
      </c>
      <c r="E42" s="3">
        <v>35415</v>
      </c>
      <c r="F42" s="3">
        <v>300</v>
      </c>
      <c r="G42" s="3">
        <v>113.7</v>
      </c>
      <c r="H42" s="3">
        <f t="shared" si="0"/>
        <v>-4.3499999999999943</v>
      </c>
      <c r="I42" s="3">
        <v>34110</v>
      </c>
      <c r="J42" s="3" t="s">
        <v>1</v>
      </c>
      <c r="K42" s="3" t="s">
        <v>1</v>
      </c>
      <c r="L42" s="3" t="s">
        <v>1</v>
      </c>
      <c r="M42" s="4">
        <v>-1305</v>
      </c>
      <c r="N42" s="5">
        <v>0</v>
      </c>
      <c r="O42" t="str">
        <f t="shared" si="1"/>
        <v>BANKNIFTY</v>
      </c>
      <c r="P42" t="str">
        <f>IF(SEARCH("NIFTY",O42),RIGHT(A42,7),0)</f>
        <v>45000CE</v>
      </c>
      <c r="Q42">
        <f t="shared" ref="Q42:Q45" si="8">M42/C42</f>
        <v>-4.3499999999999996</v>
      </c>
      <c r="S42">
        <v>-9.0111111111111111</v>
      </c>
    </row>
    <row r="43" spans="1:19" x14ac:dyDescent="0.3">
      <c r="A43" s="1" t="s">
        <v>42</v>
      </c>
      <c r="B43" s="2">
        <v>45043</v>
      </c>
      <c r="C43" s="3">
        <v>1000</v>
      </c>
      <c r="D43" s="3">
        <v>54.93</v>
      </c>
      <c r="E43" s="3">
        <v>54925</v>
      </c>
      <c r="F43" s="3">
        <v>1000</v>
      </c>
      <c r="G43" s="3">
        <v>52.49</v>
      </c>
      <c r="H43" s="3">
        <f t="shared" si="0"/>
        <v>-2.4399999999999977</v>
      </c>
      <c r="I43" s="3">
        <v>52488.75</v>
      </c>
      <c r="J43" s="3" t="s">
        <v>1</v>
      </c>
      <c r="K43" s="3" t="s">
        <v>1</v>
      </c>
      <c r="L43" s="3" t="s">
        <v>1</v>
      </c>
      <c r="M43" s="4">
        <v>-2436.25</v>
      </c>
      <c r="N43" s="5">
        <v>0</v>
      </c>
      <c r="O43" t="str">
        <f t="shared" si="1"/>
        <v>BANKNIFTY</v>
      </c>
      <c r="P43" t="str">
        <f>IF(SEARCH("NIFTY",O43),RIGHT(A43,7),0)</f>
        <v>42800CE</v>
      </c>
      <c r="Q43">
        <f t="shared" si="8"/>
        <v>-2.4362499999999998</v>
      </c>
      <c r="S43">
        <v>-8.766</v>
      </c>
    </row>
    <row r="44" spans="1:19" x14ac:dyDescent="0.3">
      <c r="A44" s="1" t="s">
        <v>43</v>
      </c>
      <c r="B44" s="2">
        <v>45064</v>
      </c>
      <c r="C44" s="3">
        <v>7400</v>
      </c>
      <c r="D44" s="3">
        <v>26.77</v>
      </c>
      <c r="E44" s="3">
        <v>198083.75</v>
      </c>
      <c r="F44" s="3">
        <v>7400</v>
      </c>
      <c r="G44" s="3">
        <v>26.99</v>
      </c>
      <c r="H44" s="3">
        <f t="shared" si="0"/>
        <v>0.21999999999999886</v>
      </c>
      <c r="I44" s="3">
        <v>199715</v>
      </c>
      <c r="J44" s="3" t="s">
        <v>1</v>
      </c>
      <c r="K44" s="3" t="s">
        <v>1</v>
      </c>
      <c r="L44" s="3" t="s">
        <v>1</v>
      </c>
      <c r="M44" s="5">
        <v>1631.25</v>
      </c>
      <c r="N44" s="5">
        <v>0</v>
      </c>
      <c r="O44" t="str">
        <f t="shared" si="1"/>
        <v>BANKNIFTY</v>
      </c>
      <c r="P44" t="str">
        <f>IF(SEARCH("NIFTY",O44),RIGHT(A44,7),0)</f>
        <v>44700CE</v>
      </c>
      <c r="Q44">
        <f t="shared" si="8"/>
        <v>0.2204391891891892</v>
      </c>
      <c r="S44">
        <v>-8.6016666666666666</v>
      </c>
    </row>
    <row r="45" spans="1:19" x14ac:dyDescent="0.3">
      <c r="A45" s="1" t="s">
        <v>44</v>
      </c>
      <c r="B45" s="2">
        <v>45120</v>
      </c>
      <c r="C45" s="3">
        <v>2200</v>
      </c>
      <c r="D45" s="3">
        <v>51.88</v>
      </c>
      <c r="E45" s="3">
        <v>114137.5</v>
      </c>
      <c r="F45" s="3">
        <v>2200</v>
      </c>
      <c r="G45" s="3">
        <v>58.47</v>
      </c>
      <c r="H45" s="3">
        <f t="shared" si="0"/>
        <v>6.5899999999999963</v>
      </c>
      <c r="I45" s="3">
        <v>128625</v>
      </c>
      <c r="J45" s="3" t="s">
        <v>1</v>
      </c>
      <c r="K45" s="3" t="s">
        <v>1</v>
      </c>
      <c r="L45" s="3" t="s">
        <v>1</v>
      </c>
      <c r="M45" s="5">
        <v>14487.5</v>
      </c>
      <c r="N45" s="5">
        <v>0</v>
      </c>
      <c r="O45" t="str">
        <f t="shared" si="1"/>
        <v>BANKNIFTY</v>
      </c>
      <c r="P45" t="str">
        <f>IF(SEARCH("NIFTY",O45),RIGHT(A45,7),0)</f>
        <v>45600CE</v>
      </c>
      <c r="Q45">
        <f t="shared" si="8"/>
        <v>6.5852272727272725</v>
      </c>
      <c r="S45">
        <v>-8.5374999999999996</v>
      </c>
    </row>
    <row r="46" spans="1:19" hidden="1" x14ac:dyDescent="0.3">
      <c r="A46" s="1" t="s">
        <v>45</v>
      </c>
      <c r="B46" s="2">
        <v>45169</v>
      </c>
      <c r="C46" s="3">
        <v>7000</v>
      </c>
      <c r="D46" s="3">
        <v>1502</v>
      </c>
      <c r="E46" s="3">
        <v>10514000</v>
      </c>
      <c r="F46" s="3">
        <v>7000</v>
      </c>
      <c r="G46" s="3">
        <v>1509.53</v>
      </c>
      <c r="H46" s="3">
        <f t="shared" si="0"/>
        <v>7.5299999999999727</v>
      </c>
      <c r="I46" s="3">
        <v>10566675</v>
      </c>
      <c r="J46" s="3" t="s">
        <v>1</v>
      </c>
      <c r="K46" s="3" t="s">
        <v>1</v>
      </c>
      <c r="L46" s="3" t="s">
        <v>1</v>
      </c>
      <c r="M46" s="5">
        <v>52675</v>
      </c>
      <c r="N46" s="5">
        <v>0</v>
      </c>
      <c r="O46" t="e">
        <f t="shared" si="1"/>
        <v>#VALUE!</v>
      </c>
      <c r="P46" t="e">
        <f>IF(SEARCH("NIFTY",O46),RIGHT(A46,7),0)</f>
        <v>#VALUE!</v>
      </c>
      <c r="S46">
        <v>-8.3909090909090907</v>
      </c>
    </row>
    <row r="47" spans="1:19" hidden="1" x14ac:dyDescent="0.3">
      <c r="A47" s="1" t="s">
        <v>46</v>
      </c>
      <c r="B47" s="2">
        <v>45043</v>
      </c>
      <c r="C47" s="3">
        <v>2900</v>
      </c>
      <c r="D47" s="3">
        <v>5.32</v>
      </c>
      <c r="E47" s="3">
        <v>15430</v>
      </c>
      <c r="F47" s="3">
        <v>2900</v>
      </c>
      <c r="G47" s="3">
        <v>8.3800000000000008</v>
      </c>
      <c r="H47" s="3">
        <f t="shared" si="0"/>
        <v>3.0600000000000005</v>
      </c>
      <c r="I47" s="3">
        <v>24305</v>
      </c>
      <c r="J47" s="3" t="s">
        <v>1</v>
      </c>
      <c r="K47" s="3" t="s">
        <v>1</v>
      </c>
      <c r="L47" s="3" t="s">
        <v>1</v>
      </c>
      <c r="M47" s="5">
        <v>8875</v>
      </c>
      <c r="N47" s="5">
        <v>0</v>
      </c>
      <c r="O47" t="str">
        <f t="shared" si="1"/>
        <v>NIFTY</v>
      </c>
      <c r="P47" t="str">
        <f>IF(SEARCH("NIFTY",O47),RIGHT(A47,7),0)</f>
        <v>17750PE</v>
      </c>
      <c r="S47">
        <v>-8.0636363636363644</v>
      </c>
    </row>
    <row r="48" spans="1:19" hidden="1" x14ac:dyDescent="0.3">
      <c r="A48" s="1" t="s">
        <v>47</v>
      </c>
      <c r="B48" s="2">
        <v>45105</v>
      </c>
      <c r="C48" s="3">
        <v>35100</v>
      </c>
      <c r="D48" s="3">
        <v>195.43</v>
      </c>
      <c r="E48" s="3">
        <v>6859417.5</v>
      </c>
      <c r="F48" s="3">
        <v>35100</v>
      </c>
      <c r="G48" s="3">
        <v>196.5</v>
      </c>
      <c r="H48" s="3">
        <f t="shared" si="0"/>
        <v>1.0699999999999932</v>
      </c>
      <c r="I48" s="3">
        <v>6897150</v>
      </c>
      <c r="J48" s="3" t="s">
        <v>1</v>
      </c>
      <c r="K48" s="3" t="s">
        <v>1</v>
      </c>
      <c r="L48" s="3" t="s">
        <v>1</v>
      </c>
      <c r="M48" s="5">
        <v>37732.5</v>
      </c>
      <c r="N48" s="5">
        <v>0</v>
      </c>
      <c r="O48" t="e">
        <f t="shared" si="1"/>
        <v>#VALUE!</v>
      </c>
      <c r="P48" t="e">
        <f>IF(SEARCH("NIFTY",O48),RIGHT(A48,7),0)</f>
        <v>#VALUE!</v>
      </c>
      <c r="S48">
        <v>-7.3801282051282051</v>
      </c>
    </row>
    <row r="49" spans="1:19" x14ac:dyDescent="0.3">
      <c r="A49" s="1" t="s">
        <v>48</v>
      </c>
      <c r="B49" s="2">
        <v>45064</v>
      </c>
      <c r="C49" s="3">
        <v>400</v>
      </c>
      <c r="D49" s="3">
        <v>9.15</v>
      </c>
      <c r="E49" s="3">
        <v>3660</v>
      </c>
      <c r="F49" s="3">
        <v>400</v>
      </c>
      <c r="G49" s="3">
        <v>7.35</v>
      </c>
      <c r="H49" s="3">
        <f t="shared" si="0"/>
        <v>-1.8000000000000007</v>
      </c>
      <c r="I49" s="3">
        <v>2940</v>
      </c>
      <c r="J49" s="3" t="s">
        <v>1</v>
      </c>
      <c r="K49" s="3" t="s">
        <v>1</v>
      </c>
      <c r="L49" s="3" t="s">
        <v>1</v>
      </c>
      <c r="M49" s="4">
        <v>-720</v>
      </c>
      <c r="N49" s="5">
        <v>0</v>
      </c>
      <c r="O49" t="str">
        <f t="shared" si="1"/>
        <v>BANKNIFTY</v>
      </c>
      <c r="P49" t="str">
        <f>IF(SEARCH("NIFTY",O49),RIGHT(A49,7),0)</f>
        <v>45300CE</v>
      </c>
      <c r="Q49">
        <f>M49/C49</f>
        <v>-1.8</v>
      </c>
      <c r="S49">
        <v>-7.3187499999999996</v>
      </c>
    </row>
    <row r="50" spans="1:19" hidden="1" x14ac:dyDescent="0.3">
      <c r="A50" s="1" t="s">
        <v>49</v>
      </c>
      <c r="B50" s="2">
        <v>45197</v>
      </c>
      <c r="C50" s="3">
        <v>540000</v>
      </c>
      <c r="D50" s="3">
        <v>87.52</v>
      </c>
      <c r="E50" s="3">
        <v>47259000</v>
      </c>
      <c r="F50" s="3">
        <v>240000</v>
      </c>
      <c r="G50" s="3">
        <v>89.41</v>
      </c>
      <c r="H50" s="3">
        <f t="shared" si="0"/>
        <v>1.8900000000000006</v>
      </c>
      <c r="I50" s="3">
        <v>21459000</v>
      </c>
      <c r="J50" s="3">
        <v>300000</v>
      </c>
      <c r="K50" s="3">
        <v>89.1875</v>
      </c>
      <c r="L50" s="3">
        <v>95</v>
      </c>
      <c r="M50" s="5">
        <v>956250</v>
      </c>
      <c r="N50" s="5">
        <v>1743750</v>
      </c>
      <c r="O50" t="e">
        <f t="shared" si="1"/>
        <v>#VALUE!</v>
      </c>
      <c r="P50" t="e">
        <f>IF(SEARCH("NIFTY",O50),RIGHT(A50,7),0)</f>
        <v>#VALUE!</v>
      </c>
      <c r="S50">
        <v>-7.2239130434782606</v>
      </c>
    </row>
    <row r="51" spans="1:19" x14ac:dyDescent="0.3">
      <c r="A51" s="1" t="s">
        <v>50</v>
      </c>
      <c r="B51" s="2">
        <v>45036</v>
      </c>
      <c r="C51" s="3">
        <v>2900</v>
      </c>
      <c r="D51" s="3">
        <v>41.7</v>
      </c>
      <c r="E51" s="3">
        <v>120926.25</v>
      </c>
      <c r="F51" s="3">
        <v>2900</v>
      </c>
      <c r="G51" s="3">
        <v>20.18</v>
      </c>
      <c r="H51" s="3">
        <f t="shared" si="0"/>
        <v>-21.520000000000003</v>
      </c>
      <c r="I51" s="3">
        <v>58523.75</v>
      </c>
      <c r="J51" s="3" t="s">
        <v>1</v>
      </c>
      <c r="K51" s="3" t="s">
        <v>1</v>
      </c>
      <c r="L51" s="3" t="s">
        <v>1</v>
      </c>
      <c r="M51" s="4">
        <v>-62402.5</v>
      </c>
      <c r="N51" s="5">
        <v>0</v>
      </c>
      <c r="O51" t="str">
        <f t="shared" si="1"/>
        <v>BANKNIFTY</v>
      </c>
      <c r="P51" t="str">
        <f>IF(SEARCH("NIFTY",O51),RIGHT(A51,7),0)</f>
        <v>42000PE</v>
      </c>
      <c r="Q51">
        <f>M51/C51</f>
        <v>-21.518103448275863</v>
      </c>
      <c r="S51">
        <v>-7.1712499999999997</v>
      </c>
    </row>
    <row r="52" spans="1:19" hidden="1" x14ac:dyDescent="0.3">
      <c r="A52" s="1" t="s">
        <v>51</v>
      </c>
      <c r="B52" s="2">
        <v>45118</v>
      </c>
      <c r="C52" s="3">
        <v>1600</v>
      </c>
      <c r="D52" s="3">
        <v>9</v>
      </c>
      <c r="E52" s="3">
        <v>14400</v>
      </c>
      <c r="F52" s="3">
        <v>1600</v>
      </c>
      <c r="G52" s="3">
        <v>6.88</v>
      </c>
      <c r="H52" s="3">
        <f t="shared" si="0"/>
        <v>-2.12</v>
      </c>
      <c r="I52" s="3">
        <v>11000</v>
      </c>
      <c r="J52" s="3" t="s">
        <v>1</v>
      </c>
      <c r="K52" s="3" t="s">
        <v>1</v>
      </c>
      <c r="L52" s="3" t="s">
        <v>1</v>
      </c>
      <c r="M52" s="4">
        <v>-3400</v>
      </c>
      <c r="N52" s="5">
        <v>0</v>
      </c>
      <c r="O52" t="str">
        <f t="shared" si="1"/>
        <v>FINNIFTY</v>
      </c>
      <c r="P52" t="str">
        <f>IF(SEARCH("NIFTY",O52),RIGHT(A52,7),0)</f>
        <v>20250CE</v>
      </c>
      <c r="S52">
        <v>-7.1136363636363633</v>
      </c>
    </row>
    <row r="53" spans="1:19" x14ac:dyDescent="0.3">
      <c r="A53" s="1" t="s">
        <v>52</v>
      </c>
      <c r="B53" s="2">
        <v>45064</v>
      </c>
      <c r="C53" s="3">
        <v>7250</v>
      </c>
      <c r="D53" s="3">
        <v>27.35</v>
      </c>
      <c r="E53" s="3">
        <v>198321.25</v>
      </c>
      <c r="F53" s="3">
        <v>7250</v>
      </c>
      <c r="G53" s="3">
        <v>26.98</v>
      </c>
      <c r="H53" s="3">
        <f t="shared" si="0"/>
        <v>-0.37000000000000099</v>
      </c>
      <c r="I53" s="3">
        <v>195596.25</v>
      </c>
      <c r="J53" s="3" t="s">
        <v>1</v>
      </c>
      <c r="K53" s="3" t="s">
        <v>1</v>
      </c>
      <c r="L53" s="3" t="s">
        <v>1</v>
      </c>
      <c r="M53" s="4">
        <v>-2725</v>
      </c>
      <c r="N53" s="5">
        <v>0</v>
      </c>
      <c r="O53" t="str">
        <f t="shared" si="1"/>
        <v>BANKNIFTY</v>
      </c>
      <c r="P53" t="str">
        <f>IF(SEARCH("NIFTY",O53),RIGHT(A53,7),0)</f>
        <v>44800CE</v>
      </c>
      <c r="Q53">
        <f t="shared" ref="Q53:Q55" si="9">M53/C53</f>
        <v>-0.37586206896551722</v>
      </c>
      <c r="S53">
        <v>-6.828846153846154</v>
      </c>
    </row>
    <row r="54" spans="1:19" x14ac:dyDescent="0.3">
      <c r="A54" s="1" t="s">
        <v>53</v>
      </c>
      <c r="B54" s="2">
        <v>45127</v>
      </c>
      <c r="C54" s="3">
        <v>300</v>
      </c>
      <c r="D54" s="3">
        <v>16.8</v>
      </c>
      <c r="E54" s="3">
        <v>5040</v>
      </c>
      <c r="F54" s="3">
        <v>300</v>
      </c>
      <c r="G54" s="3">
        <v>16.3</v>
      </c>
      <c r="H54" s="3">
        <f t="shared" si="0"/>
        <v>-0.5</v>
      </c>
      <c r="I54" s="3">
        <v>4890</v>
      </c>
      <c r="J54" s="3" t="s">
        <v>1</v>
      </c>
      <c r="K54" s="3" t="s">
        <v>1</v>
      </c>
      <c r="L54" s="3" t="s">
        <v>1</v>
      </c>
      <c r="M54" s="4">
        <v>-150</v>
      </c>
      <c r="N54" s="5">
        <v>0</v>
      </c>
      <c r="O54" t="str">
        <f t="shared" si="1"/>
        <v>BANKNIFTY</v>
      </c>
      <c r="P54" t="str">
        <f>IF(SEARCH("NIFTY",O54),RIGHT(A54,7),0)</f>
        <v>45900CE</v>
      </c>
      <c r="Q54">
        <f t="shared" si="9"/>
        <v>-0.5</v>
      </c>
      <c r="S54">
        <v>-6.74125</v>
      </c>
    </row>
    <row r="55" spans="1:19" x14ac:dyDescent="0.3">
      <c r="A55" s="1" t="s">
        <v>54</v>
      </c>
      <c r="B55" s="2">
        <v>45162</v>
      </c>
      <c r="C55" s="3">
        <v>675</v>
      </c>
      <c r="D55" s="3">
        <v>7.6</v>
      </c>
      <c r="E55" s="3">
        <v>5130</v>
      </c>
      <c r="F55" s="3">
        <v>675</v>
      </c>
      <c r="G55" s="3">
        <v>50.49</v>
      </c>
      <c r="H55" s="3">
        <f t="shared" si="0"/>
        <v>42.89</v>
      </c>
      <c r="I55" s="3">
        <v>34078.5</v>
      </c>
      <c r="J55" s="3" t="s">
        <v>1</v>
      </c>
      <c r="K55" s="3" t="s">
        <v>1</v>
      </c>
      <c r="L55" s="3" t="s">
        <v>1</v>
      </c>
      <c r="M55" s="5">
        <v>28948.5</v>
      </c>
      <c r="N55" s="5">
        <v>0</v>
      </c>
      <c r="O55" t="str">
        <f t="shared" si="1"/>
        <v>BANKNIFTY</v>
      </c>
      <c r="P55" t="str">
        <f>IF(SEARCH("NIFTY",O55),RIGHT(A55,7),0)</f>
        <v>44100PE</v>
      </c>
      <c r="Q55">
        <f t="shared" si="9"/>
        <v>42.886666666666663</v>
      </c>
      <c r="S55">
        <v>-6.1322916666666663</v>
      </c>
    </row>
    <row r="56" spans="1:19" hidden="1" x14ac:dyDescent="0.3">
      <c r="A56" s="1" t="s">
        <v>55</v>
      </c>
      <c r="B56" s="2">
        <v>45078</v>
      </c>
      <c r="C56" s="3">
        <v>3000</v>
      </c>
      <c r="D56" s="3">
        <v>1.45</v>
      </c>
      <c r="E56" s="3">
        <v>4350</v>
      </c>
      <c r="F56" s="3">
        <v>3000</v>
      </c>
      <c r="G56" s="3">
        <v>0.65</v>
      </c>
      <c r="H56" s="3">
        <f t="shared" si="0"/>
        <v>-0.79999999999999993</v>
      </c>
      <c r="I56" s="3">
        <v>1950</v>
      </c>
      <c r="J56" s="3" t="s">
        <v>1</v>
      </c>
      <c r="K56" s="3" t="s">
        <v>1</v>
      </c>
      <c r="L56" s="3" t="s">
        <v>1</v>
      </c>
      <c r="M56" s="4">
        <v>-2400</v>
      </c>
      <c r="N56" s="5">
        <v>0</v>
      </c>
      <c r="O56" t="str">
        <f t="shared" si="1"/>
        <v>NIFTY</v>
      </c>
      <c r="P56" t="str">
        <f>IF(SEARCH("NIFTY",O56),RIGHT(A56,7),0)</f>
        <v>18750CE</v>
      </c>
      <c r="S56">
        <v>-6.0867187500000002</v>
      </c>
    </row>
    <row r="57" spans="1:19" hidden="1" x14ac:dyDescent="0.3">
      <c r="A57" s="1" t="s">
        <v>56</v>
      </c>
      <c r="B57" s="2">
        <v>45050</v>
      </c>
      <c r="C57" s="3">
        <v>15500</v>
      </c>
      <c r="D57" s="3">
        <v>8.7899999999999991</v>
      </c>
      <c r="E57" s="3">
        <v>136300</v>
      </c>
      <c r="F57" s="3">
        <v>15500</v>
      </c>
      <c r="G57" s="3">
        <v>13.6</v>
      </c>
      <c r="H57" s="3">
        <f t="shared" si="0"/>
        <v>4.8100000000000005</v>
      </c>
      <c r="I57" s="3">
        <v>210750</v>
      </c>
      <c r="J57" s="3" t="s">
        <v>1</v>
      </c>
      <c r="K57" s="3" t="s">
        <v>1</v>
      </c>
      <c r="L57" s="3" t="s">
        <v>1</v>
      </c>
      <c r="M57" s="5">
        <v>74450</v>
      </c>
      <c r="N57" s="5">
        <v>0</v>
      </c>
      <c r="O57" t="str">
        <f t="shared" si="1"/>
        <v>NIFTY</v>
      </c>
      <c r="P57" t="str">
        <f>IF(SEARCH("NIFTY",O57),RIGHT(A57,7),0)</f>
        <v>18100PE</v>
      </c>
      <c r="S57">
        <v>-5.885416666666667</v>
      </c>
    </row>
    <row r="58" spans="1:19" x14ac:dyDescent="0.3">
      <c r="A58" s="1" t="s">
        <v>57</v>
      </c>
      <c r="B58" s="2">
        <v>45120</v>
      </c>
      <c r="C58" s="3">
        <v>950</v>
      </c>
      <c r="D58" s="3">
        <v>201.91</v>
      </c>
      <c r="E58" s="3">
        <v>191815</v>
      </c>
      <c r="F58" s="3">
        <v>950</v>
      </c>
      <c r="G58" s="3">
        <v>200.02</v>
      </c>
      <c r="H58" s="3">
        <f t="shared" si="0"/>
        <v>-1.8899999999999864</v>
      </c>
      <c r="I58" s="3">
        <v>190020</v>
      </c>
      <c r="J58" s="3" t="s">
        <v>1</v>
      </c>
      <c r="K58" s="3" t="s">
        <v>1</v>
      </c>
      <c r="L58" s="3" t="s">
        <v>1</v>
      </c>
      <c r="M58" s="4">
        <v>-1795</v>
      </c>
      <c r="N58" s="5">
        <v>0</v>
      </c>
      <c r="O58" t="str">
        <f t="shared" si="1"/>
        <v>BANKNIFTY</v>
      </c>
      <c r="P58" t="str">
        <f>IF(SEARCH("NIFTY",O58),RIGHT(A58,7),0)</f>
        <v>45000PE</v>
      </c>
      <c r="Q58">
        <f t="shared" ref="Q58:Q61" si="10">M58/C58</f>
        <v>-1.8894736842105264</v>
      </c>
      <c r="S58">
        <v>-5.854166666666667</v>
      </c>
    </row>
    <row r="59" spans="1:19" x14ac:dyDescent="0.3">
      <c r="A59" s="1" t="s">
        <v>58</v>
      </c>
      <c r="B59" s="2">
        <v>45162</v>
      </c>
      <c r="C59" s="3">
        <v>1350</v>
      </c>
      <c r="D59" s="3">
        <v>48.86</v>
      </c>
      <c r="E59" s="3">
        <v>65958.75</v>
      </c>
      <c r="F59" s="3">
        <v>1350</v>
      </c>
      <c r="G59" s="3">
        <v>37.99</v>
      </c>
      <c r="H59" s="3">
        <f t="shared" si="0"/>
        <v>-10.869999999999997</v>
      </c>
      <c r="I59" s="3">
        <v>51286.5</v>
      </c>
      <c r="J59" s="3" t="s">
        <v>1</v>
      </c>
      <c r="K59" s="3" t="s">
        <v>1</v>
      </c>
      <c r="L59" s="3" t="s">
        <v>1</v>
      </c>
      <c r="M59" s="4">
        <v>-14672.25</v>
      </c>
      <c r="N59" s="5">
        <v>0</v>
      </c>
      <c r="O59" t="str">
        <f t="shared" si="1"/>
        <v>BANKNIFTY</v>
      </c>
      <c r="P59" t="str">
        <f>IF(SEARCH("NIFTY",O59),RIGHT(A59,7),0)</f>
        <v>44700PE</v>
      </c>
      <c r="Q59">
        <f t="shared" si="10"/>
        <v>-10.868333333333334</v>
      </c>
      <c r="S59">
        <v>-5.8488636363636362</v>
      </c>
    </row>
    <row r="60" spans="1:19" x14ac:dyDescent="0.3">
      <c r="A60" s="1" t="s">
        <v>59</v>
      </c>
      <c r="B60" s="2">
        <v>45113</v>
      </c>
      <c r="C60" s="3">
        <v>2650</v>
      </c>
      <c r="D60" s="3">
        <v>28.35</v>
      </c>
      <c r="E60" s="3">
        <v>75128.75</v>
      </c>
      <c r="F60" s="3">
        <v>2650</v>
      </c>
      <c r="G60" s="3">
        <v>31.13</v>
      </c>
      <c r="H60" s="3">
        <f t="shared" si="0"/>
        <v>2.7799999999999976</v>
      </c>
      <c r="I60" s="3">
        <v>82506.25</v>
      </c>
      <c r="J60" s="3" t="s">
        <v>1</v>
      </c>
      <c r="K60" s="3" t="s">
        <v>1</v>
      </c>
      <c r="L60" s="3" t="s">
        <v>1</v>
      </c>
      <c r="M60" s="5">
        <v>7377.5</v>
      </c>
      <c r="N60" s="5">
        <v>0</v>
      </c>
      <c r="O60" t="str">
        <f t="shared" si="1"/>
        <v>BANKNIFTY</v>
      </c>
      <c r="P60" t="str">
        <f>IF(SEARCH("NIFTY",O60),RIGHT(A60,7),0)</f>
        <v>45400CE</v>
      </c>
      <c r="Q60">
        <f t="shared" si="10"/>
        <v>2.7839622641509436</v>
      </c>
      <c r="S60">
        <v>-5.7514705882352946</v>
      </c>
    </row>
    <row r="61" spans="1:19" x14ac:dyDescent="0.3">
      <c r="A61" s="1" t="s">
        <v>60</v>
      </c>
      <c r="B61" s="2">
        <v>45092</v>
      </c>
      <c r="C61" s="3">
        <v>2300</v>
      </c>
      <c r="D61" s="3">
        <v>35.74</v>
      </c>
      <c r="E61" s="3">
        <v>82203.75</v>
      </c>
      <c r="F61" s="3">
        <v>2300</v>
      </c>
      <c r="G61" s="3">
        <v>47.59</v>
      </c>
      <c r="H61" s="3">
        <f t="shared" si="0"/>
        <v>11.850000000000001</v>
      </c>
      <c r="I61" s="3">
        <v>109453.75</v>
      </c>
      <c r="J61" s="3" t="s">
        <v>1</v>
      </c>
      <c r="K61" s="3" t="s">
        <v>1</v>
      </c>
      <c r="L61" s="3" t="s">
        <v>1</v>
      </c>
      <c r="M61" s="5">
        <v>27250</v>
      </c>
      <c r="N61" s="5">
        <v>0</v>
      </c>
      <c r="O61" t="str">
        <f t="shared" si="1"/>
        <v>BANKNIFTY</v>
      </c>
      <c r="P61" t="str">
        <f>IF(SEARCH("NIFTY",O61),RIGHT(A61,7),0)</f>
        <v>44700CE</v>
      </c>
      <c r="Q61">
        <f t="shared" si="10"/>
        <v>11.847826086956522</v>
      </c>
      <c r="S61">
        <v>-5.625</v>
      </c>
    </row>
    <row r="62" spans="1:19" hidden="1" x14ac:dyDescent="0.3">
      <c r="A62" s="1" t="s">
        <v>61</v>
      </c>
      <c r="B62" s="2">
        <v>45197</v>
      </c>
      <c r="C62" s="3">
        <v>300000</v>
      </c>
      <c r="D62" s="3">
        <v>0.35</v>
      </c>
      <c r="E62" s="3">
        <v>105000</v>
      </c>
      <c r="F62" s="3">
        <v>0</v>
      </c>
      <c r="G62" s="3">
        <v>0</v>
      </c>
      <c r="H62" s="3">
        <f t="shared" si="0"/>
        <v>-0.35</v>
      </c>
      <c r="I62" s="3">
        <v>0</v>
      </c>
      <c r="J62" s="3">
        <v>300000</v>
      </c>
      <c r="K62" s="3">
        <v>0.35</v>
      </c>
      <c r="L62" s="3">
        <v>0.25</v>
      </c>
      <c r="M62" s="5">
        <v>0</v>
      </c>
      <c r="N62" s="4">
        <v>-30000</v>
      </c>
      <c r="O62" t="e">
        <f t="shared" si="1"/>
        <v>#VALUE!</v>
      </c>
      <c r="P62" t="e">
        <f>IF(SEARCH("NIFTY",O62),RIGHT(A62,7),0)</f>
        <v>#VALUE!</v>
      </c>
      <c r="S62">
        <v>-5.5</v>
      </c>
    </row>
    <row r="63" spans="1:19" x14ac:dyDescent="0.3">
      <c r="A63" s="1" t="s">
        <v>62</v>
      </c>
      <c r="B63" s="2">
        <v>45036</v>
      </c>
      <c r="C63" s="3">
        <v>2300</v>
      </c>
      <c r="D63" s="3">
        <v>3.25</v>
      </c>
      <c r="E63" s="3">
        <v>7480</v>
      </c>
      <c r="F63" s="3">
        <v>2300</v>
      </c>
      <c r="G63" s="3">
        <v>10.130000000000001</v>
      </c>
      <c r="H63" s="3">
        <f t="shared" si="0"/>
        <v>6.8800000000000008</v>
      </c>
      <c r="I63" s="3">
        <v>23301.25</v>
      </c>
      <c r="J63" s="3" t="s">
        <v>1</v>
      </c>
      <c r="K63" s="3" t="s">
        <v>1</v>
      </c>
      <c r="L63" s="3" t="s">
        <v>1</v>
      </c>
      <c r="M63" s="5">
        <v>15821.25</v>
      </c>
      <c r="N63" s="5">
        <v>0</v>
      </c>
      <c r="O63" t="str">
        <f t="shared" si="1"/>
        <v>BANKNIFTY</v>
      </c>
      <c r="P63" t="str">
        <f>IF(SEARCH("NIFTY",O63),RIGHT(A63,7),0)</f>
        <v>42400CE</v>
      </c>
      <c r="Q63">
        <f t="shared" ref="Q63:Q64" si="11">M63/C63</f>
        <v>6.8788043478260867</v>
      </c>
      <c r="S63">
        <v>-5.4860655737704915</v>
      </c>
    </row>
    <row r="64" spans="1:19" x14ac:dyDescent="0.3">
      <c r="A64" s="1" t="s">
        <v>63</v>
      </c>
      <c r="B64" s="2">
        <v>45078</v>
      </c>
      <c r="C64" s="3">
        <v>450</v>
      </c>
      <c r="D64" s="3">
        <v>16.649999999999999</v>
      </c>
      <c r="E64" s="3">
        <v>7492.5</v>
      </c>
      <c r="F64" s="3">
        <v>450</v>
      </c>
      <c r="G64" s="3">
        <v>19.95</v>
      </c>
      <c r="H64" s="3">
        <f t="shared" si="0"/>
        <v>3.3000000000000007</v>
      </c>
      <c r="I64" s="3">
        <v>8978.75</v>
      </c>
      <c r="J64" s="3" t="s">
        <v>1</v>
      </c>
      <c r="K64" s="3" t="s">
        <v>1</v>
      </c>
      <c r="L64" s="3" t="s">
        <v>1</v>
      </c>
      <c r="M64" s="5">
        <v>1486.25</v>
      </c>
      <c r="N64" s="5">
        <v>0</v>
      </c>
      <c r="O64" t="str">
        <f t="shared" si="1"/>
        <v>BANKNIFTY</v>
      </c>
      <c r="P64" t="str">
        <f>IF(SEARCH("NIFTY",O64),RIGHT(A64,7),0)</f>
        <v>44800CE</v>
      </c>
      <c r="Q64">
        <f t="shared" si="11"/>
        <v>3.3027777777777776</v>
      </c>
      <c r="S64">
        <v>-5.3302884615384611</v>
      </c>
    </row>
    <row r="65" spans="1:19" hidden="1" x14ac:dyDescent="0.3">
      <c r="A65" s="1" t="s">
        <v>64</v>
      </c>
      <c r="B65" s="2">
        <v>45099</v>
      </c>
      <c r="C65" s="3">
        <v>6500</v>
      </c>
      <c r="D65" s="3">
        <v>37.58</v>
      </c>
      <c r="E65" s="3">
        <v>244300</v>
      </c>
      <c r="F65" s="3">
        <v>6500</v>
      </c>
      <c r="G65" s="3">
        <v>43.22</v>
      </c>
      <c r="H65" s="3">
        <f t="shared" si="0"/>
        <v>5.6400000000000006</v>
      </c>
      <c r="I65" s="3">
        <v>280925</v>
      </c>
      <c r="J65" s="3" t="s">
        <v>1</v>
      </c>
      <c r="K65" s="3" t="s">
        <v>1</v>
      </c>
      <c r="L65" s="3" t="s">
        <v>1</v>
      </c>
      <c r="M65" s="5">
        <v>36625</v>
      </c>
      <c r="N65" s="5">
        <v>0</v>
      </c>
      <c r="O65" t="str">
        <f t="shared" si="1"/>
        <v>NIFTY</v>
      </c>
      <c r="P65" t="str">
        <f>IF(SEARCH("NIFTY",O65),RIGHT(A65,7),0)</f>
        <v>18850CE</v>
      </c>
      <c r="S65">
        <v>-5.2919117647058824</v>
      </c>
    </row>
    <row r="66" spans="1:19" hidden="1" x14ac:dyDescent="0.3">
      <c r="A66" s="1" t="s">
        <v>65</v>
      </c>
      <c r="B66" s="2">
        <v>45078</v>
      </c>
      <c r="C66" s="3">
        <v>6000</v>
      </c>
      <c r="D66" s="3">
        <v>8.0299999999999994</v>
      </c>
      <c r="E66" s="3">
        <v>48162.5</v>
      </c>
      <c r="F66" s="3">
        <v>6000</v>
      </c>
      <c r="G66" s="3">
        <v>10.86</v>
      </c>
      <c r="H66" s="3">
        <f t="shared" si="0"/>
        <v>2.83</v>
      </c>
      <c r="I66" s="3">
        <v>65180</v>
      </c>
      <c r="J66" s="3" t="s">
        <v>1</v>
      </c>
      <c r="K66" s="3" t="s">
        <v>1</v>
      </c>
      <c r="L66" s="3" t="s">
        <v>1</v>
      </c>
      <c r="M66" s="5">
        <v>17017.5</v>
      </c>
      <c r="N66" s="5">
        <v>0</v>
      </c>
      <c r="O66" t="str">
        <f t="shared" si="1"/>
        <v>NIFTY</v>
      </c>
      <c r="P66" t="str">
        <f>IF(SEARCH("NIFTY",O66),RIGHT(A66,7),0)</f>
        <v>18550CE</v>
      </c>
      <c r="S66">
        <v>-5.200520833333333</v>
      </c>
    </row>
    <row r="67" spans="1:19" hidden="1" x14ac:dyDescent="0.3">
      <c r="A67" s="1" t="s">
        <v>66</v>
      </c>
      <c r="B67" s="2">
        <v>45155</v>
      </c>
      <c r="C67" s="3">
        <v>2000</v>
      </c>
      <c r="D67" s="3">
        <v>30.5</v>
      </c>
      <c r="E67" s="3">
        <v>61000</v>
      </c>
      <c r="F67" s="3">
        <v>2000</v>
      </c>
      <c r="G67" s="3">
        <v>46.07</v>
      </c>
      <c r="H67" s="3">
        <f t="shared" ref="H67:H130" si="12">G67-D67</f>
        <v>15.57</v>
      </c>
      <c r="I67" s="3">
        <v>92140</v>
      </c>
      <c r="J67" s="3" t="s">
        <v>1</v>
      </c>
      <c r="K67" s="3" t="s">
        <v>1</v>
      </c>
      <c r="L67" s="3" t="s">
        <v>1</v>
      </c>
      <c r="M67" s="5">
        <v>31140</v>
      </c>
      <c r="N67" s="5">
        <v>0</v>
      </c>
      <c r="O67" t="str">
        <f t="shared" ref="O67:O130" si="13">LEFT(A67, FIND("NIFTY", A67) +4)</f>
        <v>NIFTY</v>
      </c>
      <c r="P67" t="str">
        <f>IF(SEARCH("NIFTY",O67),RIGHT(A67,7),0)</f>
        <v>19800CE</v>
      </c>
      <c r="S67">
        <v>-5.0281250000000002</v>
      </c>
    </row>
    <row r="68" spans="1:19" hidden="1" x14ac:dyDescent="0.3">
      <c r="A68" s="1" t="s">
        <v>67</v>
      </c>
      <c r="B68" s="2">
        <v>45125</v>
      </c>
      <c r="C68" s="3">
        <v>600</v>
      </c>
      <c r="D68" s="3">
        <v>1.48</v>
      </c>
      <c r="E68" s="3">
        <v>890</v>
      </c>
      <c r="F68" s="3">
        <v>600</v>
      </c>
      <c r="G68" s="3">
        <v>1.55</v>
      </c>
      <c r="H68" s="3">
        <f t="shared" si="12"/>
        <v>7.0000000000000062E-2</v>
      </c>
      <c r="I68" s="3">
        <v>930</v>
      </c>
      <c r="J68" s="3" t="s">
        <v>1</v>
      </c>
      <c r="K68" s="3" t="s">
        <v>1</v>
      </c>
      <c r="L68" s="3" t="s">
        <v>1</v>
      </c>
      <c r="M68" s="5">
        <v>40</v>
      </c>
      <c r="N68" s="5">
        <v>0</v>
      </c>
      <c r="O68" t="str">
        <f t="shared" si="13"/>
        <v>FINNIFTY</v>
      </c>
      <c r="P68" t="str">
        <f>IF(SEARCH("NIFTY",O68),RIGHT(A68,7),0)</f>
        <v>19450PE</v>
      </c>
      <c r="S68">
        <v>-4.8156249999999998</v>
      </c>
    </row>
    <row r="69" spans="1:19" x14ac:dyDescent="0.3">
      <c r="A69" s="1" t="s">
        <v>68</v>
      </c>
      <c r="B69" s="2">
        <v>45036</v>
      </c>
      <c r="C69" s="3">
        <v>225</v>
      </c>
      <c r="D69" s="3">
        <v>89.04</v>
      </c>
      <c r="E69" s="3">
        <v>20035</v>
      </c>
      <c r="F69" s="3">
        <v>225</v>
      </c>
      <c r="G69" s="3">
        <v>111.12</v>
      </c>
      <c r="H69" s="3">
        <f t="shared" si="12"/>
        <v>22.08</v>
      </c>
      <c r="I69" s="3">
        <v>25002.5</v>
      </c>
      <c r="J69" s="3" t="s">
        <v>1</v>
      </c>
      <c r="K69" s="3" t="s">
        <v>1</v>
      </c>
      <c r="L69" s="3" t="s">
        <v>1</v>
      </c>
      <c r="M69" s="5">
        <v>4967.5</v>
      </c>
      <c r="N69" s="5">
        <v>0</v>
      </c>
      <c r="O69" t="str">
        <f t="shared" si="13"/>
        <v>BANKNIFTY</v>
      </c>
      <c r="P69" t="str">
        <f>IF(SEARCH("NIFTY",O69),RIGHT(A69,7),0)</f>
        <v>42200CE</v>
      </c>
      <c r="Q69">
        <f t="shared" ref="Q69:Q72" si="14">M69/C69</f>
        <v>22.077777777777779</v>
      </c>
      <c r="S69">
        <v>-4.8</v>
      </c>
    </row>
    <row r="70" spans="1:19" x14ac:dyDescent="0.3">
      <c r="A70" s="1" t="s">
        <v>69</v>
      </c>
      <c r="B70" s="2">
        <v>45057</v>
      </c>
      <c r="C70" s="3">
        <v>1000</v>
      </c>
      <c r="D70" s="3">
        <v>13.61</v>
      </c>
      <c r="E70" s="3">
        <v>13610</v>
      </c>
      <c r="F70" s="3">
        <v>1000</v>
      </c>
      <c r="G70" s="3">
        <v>14.23</v>
      </c>
      <c r="H70" s="3">
        <f t="shared" si="12"/>
        <v>0.62000000000000099</v>
      </c>
      <c r="I70" s="3">
        <v>14225</v>
      </c>
      <c r="J70" s="3" t="s">
        <v>1</v>
      </c>
      <c r="K70" s="3" t="s">
        <v>1</v>
      </c>
      <c r="L70" s="3" t="s">
        <v>1</v>
      </c>
      <c r="M70" s="5">
        <v>615</v>
      </c>
      <c r="N70" s="5">
        <v>0</v>
      </c>
      <c r="O70" t="str">
        <f t="shared" si="13"/>
        <v>BANKNIFTY</v>
      </c>
      <c r="P70" t="str">
        <f>IF(SEARCH("NIFTY",O70),RIGHT(A70,7),0)</f>
        <v>43100PE</v>
      </c>
      <c r="Q70">
        <f t="shared" si="14"/>
        <v>0.61499999999999999</v>
      </c>
      <c r="S70">
        <v>-4.740340909090909</v>
      </c>
    </row>
    <row r="71" spans="1:19" x14ac:dyDescent="0.3">
      <c r="A71" s="1" t="s">
        <v>70</v>
      </c>
      <c r="B71" s="2">
        <v>45127</v>
      </c>
      <c r="C71" s="3">
        <v>100</v>
      </c>
      <c r="D71" s="3">
        <v>206.75</v>
      </c>
      <c r="E71" s="3">
        <v>20675</v>
      </c>
      <c r="F71" s="3">
        <v>100</v>
      </c>
      <c r="G71" s="3">
        <v>192.41</v>
      </c>
      <c r="H71" s="3">
        <f t="shared" si="12"/>
        <v>-14.340000000000003</v>
      </c>
      <c r="I71" s="3">
        <v>19241.25</v>
      </c>
      <c r="J71" s="3" t="s">
        <v>1</v>
      </c>
      <c r="K71" s="3" t="s">
        <v>1</v>
      </c>
      <c r="L71" s="3" t="s">
        <v>1</v>
      </c>
      <c r="M71" s="4">
        <v>-1433.75</v>
      </c>
      <c r="N71" s="5">
        <v>0</v>
      </c>
      <c r="O71" t="str">
        <f t="shared" si="13"/>
        <v>BANKNIFTY</v>
      </c>
      <c r="P71" t="str">
        <f>IF(SEARCH("NIFTY",O71),RIGHT(A71,7),0)</f>
        <v>45000CE</v>
      </c>
      <c r="Q71">
        <f t="shared" si="14"/>
        <v>-14.3375</v>
      </c>
      <c r="S71">
        <v>-4.55</v>
      </c>
    </row>
    <row r="72" spans="1:19" x14ac:dyDescent="0.3">
      <c r="A72" s="1" t="s">
        <v>71</v>
      </c>
      <c r="B72" s="2">
        <v>45043</v>
      </c>
      <c r="C72" s="3">
        <v>1100</v>
      </c>
      <c r="D72" s="3">
        <v>28.14</v>
      </c>
      <c r="E72" s="3">
        <v>30952.5</v>
      </c>
      <c r="F72" s="3">
        <v>1100</v>
      </c>
      <c r="G72" s="3">
        <v>34.78</v>
      </c>
      <c r="H72" s="3">
        <f t="shared" si="12"/>
        <v>6.6400000000000006</v>
      </c>
      <c r="I72" s="3">
        <v>38255</v>
      </c>
      <c r="J72" s="3" t="s">
        <v>1</v>
      </c>
      <c r="K72" s="3" t="s">
        <v>1</v>
      </c>
      <c r="L72" s="3" t="s">
        <v>1</v>
      </c>
      <c r="M72" s="5">
        <v>7302.5</v>
      </c>
      <c r="N72" s="5">
        <v>0</v>
      </c>
      <c r="O72" t="str">
        <f t="shared" si="13"/>
        <v>BANKNIFTY</v>
      </c>
      <c r="P72" t="str">
        <f>IF(SEARCH("NIFTY",O72),RIGHT(A72,7),0)</f>
        <v>41900PE</v>
      </c>
      <c r="Q72">
        <f t="shared" si="14"/>
        <v>6.6386363636363637</v>
      </c>
      <c r="S72">
        <v>-4.4586666666666668</v>
      </c>
    </row>
    <row r="73" spans="1:19" hidden="1" x14ac:dyDescent="0.3">
      <c r="A73" s="1" t="s">
        <v>72</v>
      </c>
      <c r="B73" s="2">
        <v>45148</v>
      </c>
      <c r="C73" s="3">
        <v>2000</v>
      </c>
      <c r="D73" s="3">
        <v>11.55</v>
      </c>
      <c r="E73" s="3">
        <v>23100</v>
      </c>
      <c r="F73" s="3">
        <v>2000</v>
      </c>
      <c r="G73" s="3">
        <v>28.85</v>
      </c>
      <c r="H73" s="3">
        <f t="shared" si="12"/>
        <v>17.3</v>
      </c>
      <c r="I73" s="3">
        <v>57695</v>
      </c>
      <c r="J73" s="3" t="s">
        <v>1</v>
      </c>
      <c r="K73" s="3" t="s">
        <v>1</v>
      </c>
      <c r="L73" s="3" t="s">
        <v>1</v>
      </c>
      <c r="M73" s="5">
        <v>34595</v>
      </c>
      <c r="N73" s="5">
        <v>0</v>
      </c>
      <c r="O73" t="str">
        <f t="shared" si="13"/>
        <v>NIFTY</v>
      </c>
      <c r="P73" t="str">
        <f>IF(SEARCH("NIFTY",O73),RIGHT(A73,7),0)</f>
        <v>19500PE</v>
      </c>
      <c r="S73">
        <v>-4.3816666666666668</v>
      </c>
    </row>
    <row r="74" spans="1:19" hidden="1" x14ac:dyDescent="0.3">
      <c r="A74" s="1" t="s">
        <v>73</v>
      </c>
      <c r="B74" s="2">
        <v>45197</v>
      </c>
      <c r="C74" s="3">
        <v>3000</v>
      </c>
      <c r="D74" s="3">
        <v>5471.19</v>
      </c>
      <c r="E74" s="3">
        <v>16413577.5</v>
      </c>
      <c r="F74" s="3">
        <v>1650</v>
      </c>
      <c r="G74" s="3">
        <v>5473.48</v>
      </c>
      <c r="H74" s="3">
        <f t="shared" si="12"/>
        <v>2.2899999999999636</v>
      </c>
      <c r="I74" s="3">
        <v>9031245</v>
      </c>
      <c r="J74" s="3">
        <v>1350</v>
      </c>
      <c r="K74" s="3">
        <v>5479.4278000000004</v>
      </c>
      <c r="L74" s="3">
        <v>5495.8</v>
      </c>
      <c r="M74" s="5">
        <v>14895</v>
      </c>
      <c r="N74" s="5">
        <v>22102.5</v>
      </c>
      <c r="O74" t="e">
        <f t="shared" si="13"/>
        <v>#VALUE!</v>
      </c>
      <c r="P74" t="e">
        <f>IF(SEARCH("NIFTY",O74),RIGHT(A74,7),0)</f>
        <v>#VALUE!</v>
      </c>
      <c r="S74">
        <v>-4.3499999999999996</v>
      </c>
    </row>
    <row r="75" spans="1:19" x14ac:dyDescent="0.3">
      <c r="A75" s="1" t="s">
        <v>74</v>
      </c>
      <c r="B75" s="2">
        <v>45120</v>
      </c>
      <c r="C75" s="3">
        <v>500</v>
      </c>
      <c r="D75" s="3">
        <v>45.67</v>
      </c>
      <c r="E75" s="3">
        <v>22832.5</v>
      </c>
      <c r="F75" s="3">
        <v>500</v>
      </c>
      <c r="G75" s="3">
        <v>53.8</v>
      </c>
      <c r="H75" s="3">
        <f t="shared" si="12"/>
        <v>8.1299999999999955</v>
      </c>
      <c r="I75" s="3">
        <v>26900</v>
      </c>
      <c r="J75" s="3" t="s">
        <v>1</v>
      </c>
      <c r="K75" s="3" t="s">
        <v>1</v>
      </c>
      <c r="L75" s="3" t="s">
        <v>1</v>
      </c>
      <c r="M75" s="5">
        <v>4067.5</v>
      </c>
      <c r="N75" s="5">
        <v>0</v>
      </c>
      <c r="O75" t="str">
        <f t="shared" si="13"/>
        <v>BANKNIFTY</v>
      </c>
      <c r="P75" t="str">
        <f>IF(SEARCH("NIFTY",O75),RIGHT(A75,7),0)</f>
        <v>46200CE</v>
      </c>
      <c r="Q75">
        <f>M75/C75</f>
        <v>8.1349999999999998</v>
      </c>
      <c r="S75">
        <v>-4.1096590909090907</v>
      </c>
    </row>
    <row r="76" spans="1:19" hidden="1" x14ac:dyDescent="0.3">
      <c r="A76" s="1" t="s">
        <v>75</v>
      </c>
      <c r="B76" s="2">
        <v>45092</v>
      </c>
      <c r="C76" s="3">
        <v>2500</v>
      </c>
      <c r="D76" s="3">
        <v>1.2</v>
      </c>
      <c r="E76" s="3">
        <v>3000</v>
      </c>
      <c r="F76" s="3">
        <v>2500</v>
      </c>
      <c r="G76" s="3">
        <v>0.25</v>
      </c>
      <c r="H76" s="3">
        <f t="shared" si="12"/>
        <v>-0.95</v>
      </c>
      <c r="I76" s="3">
        <v>625</v>
      </c>
      <c r="J76" s="3" t="s">
        <v>1</v>
      </c>
      <c r="K76" s="3" t="s">
        <v>1</v>
      </c>
      <c r="L76" s="3" t="s">
        <v>1</v>
      </c>
      <c r="M76" s="4">
        <v>-2375</v>
      </c>
      <c r="N76" s="5">
        <v>0</v>
      </c>
      <c r="O76" t="str">
        <f t="shared" si="13"/>
        <v>NIFTY</v>
      </c>
      <c r="P76" t="str">
        <f>IF(SEARCH("NIFTY",O76),RIGHT(A76,7),0)</f>
        <v>18400PE</v>
      </c>
      <c r="S76">
        <v>-4.0596666666666668</v>
      </c>
    </row>
    <row r="77" spans="1:19" hidden="1" x14ac:dyDescent="0.3">
      <c r="A77" s="1" t="s">
        <v>76</v>
      </c>
      <c r="B77" s="2">
        <v>45197</v>
      </c>
      <c r="C77" s="3">
        <v>8550</v>
      </c>
      <c r="D77" s="3">
        <v>0.7</v>
      </c>
      <c r="E77" s="3">
        <v>5985</v>
      </c>
      <c r="F77" s="3">
        <v>8550</v>
      </c>
      <c r="G77" s="3">
        <v>0.65</v>
      </c>
      <c r="H77" s="3">
        <f t="shared" si="12"/>
        <v>-4.9999999999999933E-2</v>
      </c>
      <c r="I77" s="3">
        <v>5557.5</v>
      </c>
      <c r="J77" s="3" t="s">
        <v>1</v>
      </c>
      <c r="K77" s="3" t="s">
        <v>1</v>
      </c>
      <c r="L77" s="3" t="s">
        <v>1</v>
      </c>
      <c r="M77" s="4">
        <v>-427.5</v>
      </c>
      <c r="N77" s="5">
        <v>0</v>
      </c>
      <c r="O77" t="e">
        <f t="shared" si="13"/>
        <v>#VALUE!</v>
      </c>
      <c r="P77" t="e">
        <f>IF(SEARCH("NIFTY",O77),RIGHT(A77,7),0)</f>
        <v>#VALUE!</v>
      </c>
      <c r="S77">
        <v>-3.9888157894736844</v>
      </c>
    </row>
    <row r="78" spans="1:19" x14ac:dyDescent="0.3">
      <c r="A78" s="1" t="s">
        <v>77</v>
      </c>
      <c r="B78" s="2">
        <v>45099</v>
      </c>
      <c r="C78" s="3">
        <v>1400</v>
      </c>
      <c r="D78" s="3">
        <v>43.65</v>
      </c>
      <c r="E78" s="3">
        <v>61110</v>
      </c>
      <c r="F78" s="3">
        <v>1400</v>
      </c>
      <c r="G78" s="3">
        <v>30.08</v>
      </c>
      <c r="H78" s="3">
        <f t="shared" si="12"/>
        <v>-13.57</v>
      </c>
      <c r="I78" s="3">
        <v>42113.75</v>
      </c>
      <c r="J78" s="3" t="s">
        <v>1</v>
      </c>
      <c r="K78" s="3" t="s">
        <v>1</v>
      </c>
      <c r="L78" s="3" t="s">
        <v>1</v>
      </c>
      <c r="M78" s="4">
        <v>-18996.25</v>
      </c>
      <c r="N78" s="5">
        <v>0</v>
      </c>
      <c r="O78" t="str">
        <f t="shared" si="13"/>
        <v>BANKNIFTY</v>
      </c>
      <c r="P78" t="str">
        <f>IF(SEARCH("NIFTY",O78),RIGHT(A78,7),0)</f>
        <v>42900PE</v>
      </c>
      <c r="Q78">
        <f t="shared" ref="Q78:Q83" si="15">M78/C78</f>
        <v>-13.56875</v>
      </c>
      <c r="S78">
        <v>-3.8909090909090911</v>
      </c>
    </row>
    <row r="79" spans="1:19" x14ac:dyDescent="0.3">
      <c r="A79" s="1" t="s">
        <v>78</v>
      </c>
      <c r="B79" s="2">
        <v>45085</v>
      </c>
      <c r="C79" s="3">
        <v>600</v>
      </c>
      <c r="D79" s="3">
        <v>43.85</v>
      </c>
      <c r="E79" s="3">
        <v>26308.75</v>
      </c>
      <c r="F79" s="3">
        <v>600</v>
      </c>
      <c r="G79" s="3">
        <v>51.16</v>
      </c>
      <c r="H79" s="3">
        <f t="shared" si="12"/>
        <v>7.3099999999999952</v>
      </c>
      <c r="I79" s="3">
        <v>30696.25</v>
      </c>
      <c r="J79" s="3" t="s">
        <v>1</v>
      </c>
      <c r="K79" s="3" t="s">
        <v>1</v>
      </c>
      <c r="L79" s="3" t="s">
        <v>1</v>
      </c>
      <c r="M79" s="5">
        <v>4387.5</v>
      </c>
      <c r="N79" s="5">
        <v>0</v>
      </c>
      <c r="O79" t="str">
        <f t="shared" si="13"/>
        <v>BANKNIFTY</v>
      </c>
      <c r="P79" t="str">
        <f>IF(SEARCH("NIFTY",O79),RIGHT(A79,7),0)</f>
        <v>43100PE</v>
      </c>
      <c r="Q79">
        <f t="shared" si="15"/>
        <v>7.3125</v>
      </c>
      <c r="S79">
        <v>-3.8624999999999998</v>
      </c>
    </row>
    <row r="80" spans="1:19" x14ac:dyDescent="0.3">
      <c r="A80" s="1" t="s">
        <v>79</v>
      </c>
      <c r="B80" s="2">
        <v>45134</v>
      </c>
      <c r="C80" s="3">
        <v>450</v>
      </c>
      <c r="D80" s="3">
        <v>45.31</v>
      </c>
      <c r="E80" s="3">
        <v>20387.25</v>
      </c>
      <c r="F80" s="3">
        <v>450</v>
      </c>
      <c r="G80" s="3">
        <v>43.15</v>
      </c>
      <c r="H80" s="3">
        <f t="shared" si="12"/>
        <v>-2.1600000000000037</v>
      </c>
      <c r="I80" s="3">
        <v>19417.5</v>
      </c>
      <c r="J80" s="3" t="s">
        <v>1</v>
      </c>
      <c r="K80" s="3" t="s">
        <v>1</v>
      </c>
      <c r="L80" s="3" t="s">
        <v>1</v>
      </c>
      <c r="M80" s="4">
        <v>-969.75</v>
      </c>
      <c r="N80" s="5">
        <v>0</v>
      </c>
      <c r="O80" t="str">
        <f t="shared" si="13"/>
        <v>BANKNIFTY</v>
      </c>
      <c r="P80" t="str">
        <f>IF(SEARCH("NIFTY",O80),RIGHT(A80,7),0)</f>
        <v>46000PE</v>
      </c>
      <c r="Q80">
        <f t="shared" si="15"/>
        <v>-2.1549999999999998</v>
      </c>
      <c r="S80">
        <v>-3.8470501474926255</v>
      </c>
    </row>
    <row r="81" spans="1:19" x14ac:dyDescent="0.3">
      <c r="A81" s="1" t="s">
        <v>80</v>
      </c>
      <c r="B81" s="2">
        <v>45078</v>
      </c>
      <c r="C81" s="3">
        <v>600</v>
      </c>
      <c r="D81" s="3">
        <v>10.7</v>
      </c>
      <c r="E81" s="3">
        <v>6420</v>
      </c>
      <c r="F81" s="3">
        <v>600</v>
      </c>
      <c r="G81" s="3">
        <v>16.100000000000001</v>
      </c>
      <c r="H81" s="3">
        <f t="shared" si="12"/>
        <v>5.4000000000000021</v>
      </c>
      <c r="I81" s="3">
        <v>9660</v>
      </c>
      <c r="J81" s="3" t="s">
        <v>1</v>
      </c>
      <c r="K81" s="3" t="s">
        <v>1</v>
      </c>
      <c r="L81" s="3" t="s">
        <v>1</v>
      </c>
      <c r="M81" s="5">
        <v>3240</v>
      </c>
      <c r="N81" s="5">
        <v>0</v>
      </c>
      <c r="O81" t="str">
        <f t="shared" si="13"/>
        <v>BANKNIFTY</v>
      </c>
      <c r="P81" t="str">
        <f>IF(SEARCH("NIFTY",O81),RIGHT(A81,7),0)</f>
        <v>45300CE</v>
      </c>
      <c r="Q81">
        <f t="shared" si="15"/>
        <v>5.4</v>
      </c>
      <c r="S81">
        <v>-3.789705882352941</v>
      </c>
    </row>
    <row r="82" spans="1:19" x14ac:dyDescent="0.3">
      <c r="A82" s="1" t="s">
        <v>81</v>
      </c>
      <c r="B82" s="2">
        <v>45120</v>
      </c>
      <c r="C82" s="3">
        <v>400</v>
      </c>
      <c r="D82" s="3">
        <v>185</v>
      </c>
      <c r="E82" s="3">
        <v>74000</v>
      </c>
      <c r="F82" s="3">
        <v>400</v>
      </c>
      <c r="G82" s="3">
        <v>172.9</v>
      </c>
      <c r="H82" s="3">
        <f t="shared" si="12"/>
        <v>-12.099999999999994</v>
      </c>
      <c r="I82" s="3">
        <v>69161.25</v>
      </c>
      <c r="J82" s="3" t="s">
        <v>1</v>
      </c>
      <c r="K82" s="3" t="s">
        <v>1</v>
      </c>
      <c r="L82" s="3" t="s">
        <v>1</v>
      </c>
      <c r="M82" s="4">
        <v>-4838.75</v>
      </c>
      <c r="N82" s="5">
        <v>0</v>
      </c>
      <c r="O82" t="str">
        <f t="shared" si="13"/>
        <v>BANKNIFTY</v>
      </c>
      <c r="P82" t="str">
        <f>IF(SEARCH("NIFTY",O82),RIGHT(A82,7),0)</f>
        <v>45200CE</v>
      </c>
      <c r="Q82">
        <f t="shared" si="15"/>
        <v>-12.096875000000001</v>
      </c>
      <c r="S82">
        <v>-3.7783333333333333</v>
      </c>
    </row>
    <row r="83" spans="1:19" x14ac:dyDescent="0.3">
      <c r="A83" s="1" t="s">
        <v>82</v>
      </c>
      <c r="B83" s="2">
        <v>45043</v>
      </c>
      <c r="C83" s="3">
        <v>600</v>
      </c>
      <c r="D83" s="3">
        <v>7.22</v>
      </c>
      <c r="E83" s="3">
        <v>4330</v>
      </c>
      <c r="F83" s="3">
        <v>600</v>
      </c>
      <c r="G83" s="3">
        <v>5.91</v>
      </c>
      <c r="H83" s="3">
        <f t="shared" si="12"/>
        <v>-1.3099999999999996</v>
      </c>
      <c r="I83" s="3">
        <v>3545</v>
      </c>
      <c r="J83" s="3" t="s">
        <v>1</v>
      </c>
      <c r="K83" s="3" t="s">
        <v>1</v>
      </c>
      <c r="L83" s="3" t="s">
        <v>1</v>
      </c>
      <c r="M83" s="4">
        <v>-785</v>
      </c>
      <c r="N83" s="5">
        <v>0</v>
      </c>
      <c r="O83" t="str">
        <f t="shared" si="13"/>
        <v>BANKNIFTY</v>
      </c>
      <c r="P83" t="str">
        <f>IF(SEARCH("NIFTY",O83),RIGHT(A83,7),0)</f>
        <v>40500PE</v>
      </c>
      <c r="Q83">
        <f t="shared" si="15"/>
        <v>-1.3083333333333333</v>
      </c>
      <c r="S83">
        <v>-3.76</v>
      </c>
    </row>
    <row r="84" spans="1:19" hidden="1" x14ac:dyDescent="0.3">
      <c r="A84" s="1" t="s">
        <v>83</v>
      </c>
      <c r="B84" s="2">
        <v>45099</v>
      </c>
      <c r="C84" s="3">
        <v>6500</v>
      </c>
      <c r="D84" s="3">
        <v>66.150000000000006</v>
      </c>
      <c r="E84" s="3">
        <v>430002.5</v>
      </c>
      <c r="F84" s="3">
        <v>6500</v>
      </c>
      <c r="G84" s="3">
        <v>60.46</v>
      </c>
      <c r="H84" s="3">
        <f t="shared" si="12"/>
        <v>-5.6900000000000048</v>
      </c>
      <c r="I84" s="3">
        <v>392970</v>
      </c>
      <c r="J84" s="3" t="s">
        <v>1</v>
      </c>
      <c r="K84" s="3" t="s">
        <v>1</v>
      </c>
      <c r="L84" s="3" t="s">
        <v>1</v>
      </c>
      <c r="M84" s="4">
        <v>-37032.5</v>
      </c>
      <c r="N84" s="5">
        <v>0</v>
      </c>
      <c r="O84" t="str">
        <f t="shared" si="13"/>
        <v>NIFTY</v>
      </c>
      <c r="P84" t="str">
        <f>IF(SEARCH("NIFTY",O84),RIGHT(A84,7),0)</f>
        <v>18800CE</v>
      </c>
      <c r="S84">
        <v>-3.7044117647058825</v>
      </c>
    </row>
    <row r="85" spans="1:19" x14ac:dyDescent="0.3">
      <c r="A85" s="1" t="s">
        <v>84</v>
      </c>
      <c r="B85" s="2">
        <v>45105</v>
      </c>
      <c r="C85" s="3">
        <v>2125</v>
      </c>
      <c r="D85" s="3">
        <v>133.29</v>
      </c>
      <c r="E85" s="3">
        <v>283238.75</v>
      </c>
      <c r="F85" s="3">
        <v>2125</v>
      </c>
      <c r="G85" s="3">
        <v>151.53</v>
      </c>
      <c r="H85" s="3">
        <f t="shared" si="12"/>
        <v>18.240000000000009</v>
      </c>
      <c r="I85" s="3">
        <v>321991.25</v>
      </c>
      <c r="J85" s="3" t="s">
        <v>1</v>
      </c>
      <c r="K85" s="3" t="s">
        <v>1</v>
      </c>
      <c r="L85" s="3" t="s">
        <v>1</v>
      </c>
      <c r="M85" s="5">
        <v>38752.5</v>
      </c>
      <c r="N85" s="5">
        <v>0</v>
      </c>
      <c r="O85" t="str">
        <f t="shared" si="13"/>
        <v>BANKNIFTY</v>
      </c>
      <c r="P85" t="str">
        <f>IF(SEARCH("NIFTY",O85),RIGHT(A85,7),0)</f>
        <v>43700PE</v>
      </c>
      <c r="Q85">
        <f t="shared" ref="Q85:Q88" si="16">M85/C85</f>
        <v>18.236470588235296</v>
      </c>
      <c r="S85">
        <v>-3.68</v>
      </c>
    </row>
    <row r="86" spans="1:19" x14ac:dyDescent="0.3">
      <c r="A86" s="1" t="s">
        <v>85</v>
      </c>
      <c r="B86" s="2">
        <v>45078</v>
      </c>
      <c r="C86" s="3">
        <v>700</v>
      </c>
      <c r="D86" s="3">
        <v>18.899999999999999</v>
      </c>
      <c r="E86" s="3">
        <v>13227.5</v>
      </c>
      <c r="F86" s="3">
        <v>700</v>
      </c>
      <c r="G86" s="3">
        <v>22.08</v>
      </c>
      <c r="H86" s="3">
        <f t="shared" si="12"/>
        <v>3.1799999999999997</v>
      </c>
      <c r="I86" s="3">
        <v>15453.75</v>
      </c>
      <c r="J86" s="3" t="s">
        <v>1</v>
      </c>
      <c r="K86" s="3" t="s">
        <v>1</v>
      </c>
      <c r="L86" s="3" t="s">
        <v>1</v>
      </c>
      <c r="M86" s="5">
        <v>2226.25</v>
      </c>
      <c r="N86" s="5">
        <v>0</v>
      </c>
      <c r="O86" t="str">
        <f t="shared" si="13"/>
        <v>BANKNIFTY</v>
      </c>
      <c r="P86" t="str">
        <f>IF(SEARCH("NIFTY",O86),RIGHT(A86,7),0)</f>
        <v>44700CE</v>
      </c>
      <c r="Q86">
        <f t="shared" si="16"/>
        <v>3.1803571428571429</v>
      </c>
      <c r="S86">
        <v>-3.6187499999999999</v>
      </c>
    </row>
    <row r="87" spans="1:19" x14ac:dyDescent="0.3">
      <c r="A87" s="1" t="s">
        <v>86</v>
      </c>
      <c r="B87" s="2">
        <v>45105</v>
      </c>
      <c r="C87" s="3">
        <v>500</v>
      </c>
      <c r="D87" s="3">
        <v>29.35</v>
      </c>
      <c r="E87" s="3">
        <v>14675</v>
      </c>
      <c r="F87" s="3">
        <v>500</v>
      </c>
      <c r="G87" s="3">
        <v>34.799999999999997</v>
      </c>
      <c r="H87" s="3">
        <f t="shared" si="12"/>
        <v>5.4499999999999957</v>
      </c>
      <c r="I87" s="3">
        <v>17400</v>
      </c>
      <c r="J87" s="3" t="s">
        <v>1</v>
      </c>
      <c r="K87" s="3" t="s">
        <v>1</v>
      </c>
      <c r="L87" s="3" t="s">
        <v>1</v>
      </c>
      <c r="M87" s="5">
        <v>2725</v>
      </c>
      <c r="N87" s="5">
        <v>0</v>
      </c>
      <c r="O87" t="str">
        <f t="shared" si="13"/>
        <v>BANKNIFTY</v>
      </c>
      <c r="P87" t="str">
        <f>IF(SEARCH("NIFTY",O87),RIGHT(A87,7),0)</f>
        <v>42700PE</v>
      </c>
      <c r="Q87">
        <f t="shared" si="16"/>
        <v>5.45</v>
      </c>
      <c r="S87">
        <v>-3.45</v>
      </c>
    </row>
    <row r="88" spans="1:19" x14ac:dyDescent="0.3">
      <c r="A88" s="1" t="s">
        <v>87</v>
      </c>
      <c r="B88" s="2">
        <v>45134</v>
      </c>
      <c r="C88" s="3">
        <v>240</v>
      </c>
      <c r="D88" s="3">
        <v>501.93</v>
      </c>
      <c r="E88" s="3">
        <v>120462.75</v>
      </c>
      <c r="F88" s="3">
        <v>240</v>
      </c>
      <c r="G88" s="3">
        <v>497.11</v>
      </c>
      <c r="H88" s="3">
        <f t="shared" si="12"/>
        <v>-4.8199999999999932</v>
      </c>
      <c r="I88" s="3">
        <v>119307</v>
      </c>
      <c r="J88" s="3" t="s">
        <v>1</v>
      </c>
      <c r="K88" s="3" t="s">
        <v>1</v>
      </c>
      <c r="L88" s="3" t="s">
        <v>1</v>
      </c>
      <c r="M88" s="4">
        <v>-1155.75</v>
      </c>
      <c r="N88" s="5">
        <v>0</v>
      </c>
      <c r="O88" t="str">
        <f t="shared" si="13"/>
        <v>BANKNIFTY</v>
      </c>
      <c r="P88" t="str">
        <f>IF(SEARCH("NIFTY",O88),RIGHT(A88,7),0)</f>
        <v>46500PE</v>
      </c>
      <c r="Q88">
        <f t="shared" si="16"/>
        <v>-4.8156249999999998</v>
      </c>
      <c r="S88">
        <v>-3.3362500000000002</v>
      </c>
    </row>
    <row r="89" spans="1:19" hidden="1" x14ac:dyDescent="0.3">
      <c r="A89" s="1" t="s">
        <v>88</v>
      </c>
      <c r="B89" s="2">
        <v>45141</v>
      </c>
      <c r="C89" s="3">
        <v>1000</v>
      </c>
      <c r="D89" s="3">
        <v>2.5499999999999998</v>
      </c>
      <c r="E89" s="3">
        <v>2550</v>
      </c>
      <c r="F89" s="3">
        <v>1000</v>
      </c>
      <c r="G89" s="3">
        <v>2.65</v>
      </c>
      <c r="H89" s="3">
        <f t="shared" si="12"/>
        <v>0.10000000000000009</v>
      </c>
      <c r="I89" s="3">
        <v>2650</v>
      </c>
      <c r="J89" s="3" t="s">
        <v>1</v>
      </c>
      <c r="K89" s="3" t="s">
        <v>1</v>
      </c>
      <c r="L89" s="3" t="s">
        <v>1</v>
      </c>
      <c r="M89" s="5">
        <v>100</v>
      </c>
      <c r="N89" s="5">
        <v>0</v>
      </c>
      <c r="O89" t="str">
        <f t="shared" si="13"/>
        <v>NIFTY</v>
      </c>
      <c r="P89" t="str">
        <f>IF(SEARCH("NIFTY",O89),RIGHT(A89,7),0)</f>
        <v>20200CE</v>
      </c>
      <c r="S89">
        <v>-3.2755319148936168</v>
      </c>
    </row>
    <row r="90" spans="1:19" x14ac:dyDescent="0.3">
      <c r="A90" s="1" t="s">
        <v>89</v>
      </c>
      <c r="B90" s="2">
        <v>45036</v>
      </c>
      <c r="C90" s="3">
        <v>5550</v>
      </c>
      <c r="D90" s="3">
        <v>6.13</v>
      </c>
      <c r="E90" s="3">
        <v>34038.75</v>
      </c>
      <c r="F90" s="3">
        <v>5550</v>
      </c>
      <c r="G90" s="3">
        <v>6.34</v>
      </c>
      <c r="H90" s="3">
        <f t="shared" si="12"/>
        <v>0.20999999999999996</v>
      </c>
      <c r="I90" s="3">
        <v>35180</v>
      </c>
      <c r="J90" s="3" t="s">
        <v>1</v>
      </c>
      <c r="K90" s="3" t="s">
        <v>1</v>
      </c>
      <c r="L90" s="3" t="s">
        <v>1</v>
      </c>
      <c r="M90" s="5">
        <v>1141.25</v>
      </c>
      <c r="N90" s="5">
        <v>0</v>
      </c>
      <c r="O90" t="str">
        <f t="shared" si="13"/>
        <v>BANKNIFTY</v>
      </c>
      <c r="P90" t="str">
        <f>IF(SEARCH("NIFTY",O90),RIGHT(A90,7),0)</f>
        <v>43000CE</v>
      </c>
      <c r="Q90">
        <f t="shared" ref="Q90:Q93" si="17">M90/C90</f>
        <v>0.20563063063063064</v>
      </c>
      <c r="S90">
        <v>-3.25</v>
      </c>
    </row>
    <row r="91" spans="1:19" x14ac:dyDescent="0.3">
      <c r="A91" s="1" t="s">
        <v>90</v>
      </c>
      <c r="B91" s="2">
        <v>45162</v>
      </c>
      <c r="C91" s="3">
        <v>1080</v>
      </c>
      <c r="D91" s="3">
        <v>40.43</v>
      </c>
      <c r="E91" s="3">
        <v>43659</v>
      </c>
      <c r="F91" s="3">
        <v>1080</v>
      </c>
      <c r="G91" s="3">
        <v>42.93</v>
      </c>
      <c r="H91" s="3">
        <f t="shared" si="12"/>
        <v>2.5</v>
      </c>
      <c r="I91" s="3">
        <v>46365</v>
      </c>
      <c r="J91" s="3" t="s">
        <v>1</v>
      </c>
      <c r="K91" s="3" t="s">
        <v>1</v>
      </c>
      <c r="L91" s="3" t="s">
        <v>1</v>
      </c>
      <c r="M91" s="5">
        <v>2706</v>
      </c>
      <c r="N91" s="5">
        <v>0</v>
      </c>
      <c r="O91" t="str">
        <f t="shared" si="13"/>
        <v>BANKNIFTY</v>
      </c>
      <c r="P91" t="str">
        <f>IF(SEARCH("NIFTY",O91),RIGHT(A91,7),0)</f>
        <v>43300PE</v>
      </c>
      <c r="Q91">
        <f t="shared" si="17"/>
        <v>2.5055555555555555</v>
      </c>
      <c r="S91">
        <v>-3.2416666666666667</v>
      </c>
    </row>
    <row r="92" spans="1:19" x14ac:dyDescent="0.3">
      <c r="A92" s="1" t="s">
        <v>91</v>
      </c>
      <c r="B92" s="2">
        <v>45113</v>
      </c>
      <c r="C92" s="3">
        <v>350</v>
      </c>
      <c r="D92" s="3">
        <v>5.3</v>
      </c>
      <c r="E92" s="3">
        <v>1855</v>
      </c>
      <c r="F92" s="3">
        <v>350</v>
      </c>
      <c r="G92" s="3">
        <v>6.01</v>
      </c>
      <c r="H92" s="3">
        <f t="shared" si="12"/>
        <v>0.71</v>
      </c>
      <c r="I92" s="3">
        <v>2105</v>
      </c>
      <c r="J92" s="3" t="s">
        <v>1</v>
      </c>
      <c r="K92" s="3" t="s">
        <v>1</v>
      </c>
      <c r="L92" s="3" t="s">
        <v>1</v>
      </c>
      <c r="M92" s="5">
        <v>250</v>
      </c>
      <c r="N92" s="5">
        <v>0</v>
      </c>
      <c r="O92" t="str">
        <f t="shared" si="13"/>
        <v>BANKNIFTY</v>
      </c>
      <c r="P92" t="str">
        <f>IF(SEARCH("NIFTY",O92),RIGHT(A92,7),0)</f>
        <v>46800CE</v>
      </c>
      <c r="Q92">
        <f t="shared" si="17"/>
        <v>0.7142857142857143</v>
      </c>
      <c r="S92">
        <v>-3.2124999999999999</v>
      </c>
    </row>
    <row r="93" spans="1:19" x14ac:dyDescent="0.3">
      <c r="A93" s="1" t="s">
        <v>92</v>
      </c>
      <c r="B93" s="2">
        <v>45162</v>
      </c>
      <c r="C93" s="3">
        <v>3510</v>
      </c>
      <c r="D93" s="3">
        <v>22.63</v>
      </c>
      <c r="E93" s="3">
        <v>79431.75</v>
      </c>
      <c r="F93" s="3">
        <v>3510</v>
      </c>
      <c r="G93" s="3">
        <v>19.61</v>
      </c>
      <c r="H93" s="3">
        <f t="shared" si="12"/>
        <v>-3.0199999999999996</v>
      </c>
      <c r="I93" s="3">
        <v>68819.25</v>
      </c>
      <c r="J93" s="3" t="s">
        <v>1</v>
      </c>
      <c r="K93" s="3" t="s">
        <v>1</v>
      </c>
      <c r="L93" s="3" t="s">
        <v>1</v>
      </c>
      <c r="M93" s="4">
        <v>-10612.5</v>
      </c>
      <c r="N93" s="5">
        <v>0</v>
      </c>
      <c r="O93" t="str">
        <f t="shared" si="13"/>
        <v>BANKNIFTY</v>
      </c>
      <c r="P93" t="str">
        <f>IF(SEARCH("NIFTY",O93),RIGHT(A93,7),0)</f>
        <v>44800CE</v>
      </c>
      <c r="Q93">
        <f t="shared" si="17"/>
        <v>-3.0235042735042734</v>
      </c>
      <c r="S93">
        <v>-3.15</v>
      </c>
    </row>
    <row r="94" spans="1:19" hidden="1" x14ac:dyDescent="0.3">
      <c r="A94" s="1" t="s">
        <v>93</v>
      </c>
      <c r="B94" s="2">
        <v>45092</v>
      </c>
      <c r="C94" s="3">
        <v>2500</v>
      </c>
      <c r="D94" s="3">
        <v>3.05</v>
      </c>
      <c r="E94" s="3">
        <v>7625</v>
      </c>
      <c r="F94" s="3">
        <v>2500</v>
      </c>
      <c r="G94" s="3">
        <v>17.89</v>
      </c>
      <c r="H94" s="3">
        <f t="shared" si="12"/>
        <v>14.84</v>
      </c>
      <c r="I94" s="3">
        <v>44735</v>
      </c>
      <c r="J94" s="3" t="s">
        <v>1</v>
      </c>
      <c r="K94" s="3" t="s">
        <v>1</v>
      </c>
      <c r="L94" s="3" t="s">
        <v>1</v>
      </c>
      <c r="M94" s="5">
        <v>37110</v>
      </c>
      <c r="N94" s="5">
        <v>0</v>
      </c>
      <c r="O94" t="str">
        <f t="shared" si="13"/>
        <v>NIFTY</v>
      </c>
      <c r="P94" t="str">
        <f>IF(SEARCH("NIFTY",O94),RIGHT(A94,7),0)</f>
        <v>18750CE</v>
      </c>
      <c r="S94">
        <v>-3.1</v>
      </c>
    </row>
    <row r="95" spans="1:19" x14ac:dyDescent="0.3">
      <c r="A95" s="1" t="s">
        <v>94</v>
      </c>
      <c r="B95" s="2">
        <v>45050</v>
      </c>
      <c r="C95" s="3">
        <v>700</v>
      </c>
      <c r="D95" s="3">
        <v>40.5</v>
      </c>
      <c r="E95" s="3">
        <v>28350</v>
      </c>
      <c r="F95" s="3">
        <v>700</v>
      </c>
      <c r="G95" s="3">
        <v>45</v>
      </c>
      <c r="H95" s="3">
        <f t="shared" si="12"/>
        <v>4.5</v>
      </c>
      <c r="I95" s="3">
        <v>31500</v>
      </c>
      <c r="J95" s="3" t="s">
        <v>1</v>
      </c>
      <c r="K95" s="3" t="s">
        <v>1</v>
      </c>
      <c r="L95" s="3" t="s">
        <v>1</v>
      </c>
      <c r="M95" s="5">
        <v>3150</v>
      </c>
      <c r="N95" s="5">
        <v>0</v>
      </c>
      <c r="O95" t="str">
        <f t="shared" si="13"/>
        <v>BANKNIFTY</v>
      </c>
      <c r="P95" t="str">
        <f>IF(SEARCH("NIFTY",O95),RIGHT(A95,7),0)</f>
        <v>42000PE</v>
      </c>
      <c r="Q95">
        <f>M95/C95</f>
        <v>4.5</v>
      </c>
      <c r="S95">
        <v>-3.0809701492537314</v>
      </c>
    </row>
    <row r="96" spans="1:19" hidden="1" x14ac:dyDescent="0.3">
      <c r="A96" s="1" t="s">
        <v>95</v>
      </c>
      <c r="B96" s="2">
        <v>45048</v>
      </c>
      <c r="C96" s="3">
        <v>1000</v>
      </c>
      <c r="D96" s="3">
        <v>1</v>
      </c>
      <c r="E96" s="3">
        <v>1000</v>
      </c>
      <c r="F96" s="3">
        <v>1000</v>
      </c>
      <c r="G96" s="3">
        <v>0.4</v>
      </c>
      <c r="H96" s="3">
        <f t="shared" si="12"/>
        <v>-0.6</v>
      </c>
      <c r="I96" s="3">
        <v>400</v>
      </c>
      <c r="J96" s="3" t="s">
        <v>1</v>
      </c>
      <c r="K96" s="3" t="s">
        <v>1</v>
      </c>
      <c r="L96" s="3" t="s">
        <v>1</v>
      </c>
      <c r="M96" s="4">
        <v>-600</v>
      </c>
      <c r="N96" s="5">
        <v>0</v>
      </c>
      <c r="O96" t="str">
        <f t="shared" si="13"/>
        <v>FINNIFTY</v>
      </c>
      <c r="P96" t="str">
        <f>IF(SEARCH("NIFTY",O96),RIGHT(A96,7),0)</f>
        <v>19400CE</v>
      </c>
      <c r="S96">
        <v>-3.05</v>
      </c>
    </row>
    <row r="97" spans="1:19" x14ac:dyDescent="0.3">
      <c r="A97" s="1" t="s">
        <v>96</v>
      </c>
      <c r="B97" s="2">
        <v>45113</v>
      </c>
      <c r="C97" s="3">
        <v>5100</v>
      </c>
      <c r="D97" s="3">
        <v>168.69</v>
      </c>
      <c r="E97" s="3">
        <v>860333.75</v>
      </c>
      <c r="F97" s="3">
        <v>5100</v>
      </c>
      <c r="G97" s="3">
        <v>150.63999999999999</v>
      </c>
      <c r="H97" s="3">
        <f t="shared" si="12"/>
        <v>-18.050000000000011</v>
      </c>
      <c r="I97" s="3">
        <v>768253.75</v>
      </c>
      <c r="J97" s="3" t="s">
        <v>1</v>
      </c>
      <c r="K97" s="3" t="s">
        <v>1</v>
      </c>
      <c r="L97" s="3" t="s">
        <v>1</v>
      </c>
      <c r="M97" s="4">
        <v>-92080</v>
      </c>
      <c r="N97" s="5">
        <v>0</v>
      </c>
      <c r="O97" t="str">
        <f t="shared" si="13"/>
        <v>BANKNIFTY</v>
      </c>
      <c r="P97" t="str">
        <f>IF(SEARCH("NIFTY",O97),RIGHT(A97,7),0)</f>
        <v>45200CE</v>
      </c>
      <c r="Q97">
        <f t="shared" ref="Q97:Q103" si="18">M97/C97</f>
        <v>-18.054901960784314</v>
      </c>
      <c r="S97">
        <v>-3.0235042735042734</v>
      </c>
    </row>
    <row r="98" spans="1:19" x14ac:dyDescent="0.3">
      <c r="A98" s="1" t="s">
        <v>97</v>
      </c>
      <c r="B98" s="2">
        <v>45036</v>
      </c>
      <c r="C98" s="3">
        <v>600</v>
      </c>
      <c r="D98" s="3">
        <v>40.96</v>
      </c>
      <c r="E98" s="3">
        <v>24577.5</v>
      </c>
      <c r="F98" s="3">
        <v>600</v>
      </c>
      <c r="G98" s="3">
        <v>37.1</v>
      </c>
      <c r="H98" s="3">
        <f t="shared" si="12"/>
        <v>-3.8599999999999994</v>
      </c>
      <c r="I98" s="3">
        <v>22260</v>
      </c>
      <c r="J98" s="3" t="s">
        <v>1</v>
      </c>
      <c r="K98" s="3" t="s">
        <v>1</v>
      </c>
      <c r="L98" s="3" t="s">
        <v>1</v>
      </c>
      <c r="M98" s="4">
        <v>-2317.5</v>
      </c>
      <c r="N98" s="5">
        <v>0</v>
      </c>
      <c r="O98" t="str">
        <f t="shared" si="13"/>
        <v>BANKNIFTY</v>
      </c>
      <c r="P98" t="str">
        <f>IF(SEARCH("NIFTY",O98),RIGHT(A98,7),0)</f>
        <v>42900CE</v>
      </c>
      <c r="Q98">
        <f t="shared" si="18"/>
        <v>-3.8624999999999998</v>
      </c>
      <c r="S98">
        <v>-3.0071428571428571</v>
      </c>
    </row>
    <row r="99" spans="1:19" x14ac:dyDescent="0.3">
      <c r="A99" s="1" t="s">
        <v>98</v>
      </c>
      <c r="B99" s="2">
        <v>45175</v>
      </c>
      <c r="C99" s="3">
        <v>450</v>
      </c>
      <c r="D99" s="3">
        <v>34.79</v>
      </c>
      <c r="E99" s="3">
        <v>15656.25</v>
      </c>
      <c r="F99" s="3">
        <v>450</v>
      </c>
      <c r="G99" s="3">
        <v>92.64</v>
      </c>
      <c r="H99" s="3">
        <f t="shared" si="12"/>
        <v>57.85</v>
      </c>
      <c r="I99" s="3">
        <v>41689.5</v>
      </c>
      <c r="J99" s="3" t="s">
        <v>1</v>
      </c>
      <c r="K99" s="3" t="s">
        <v>1</v>
      </c>
      <c r="L99" s="3" t="s">
        <v>1</v>
      </c>
      <c r="M99" s="5">
        <v>26033.25</v>
      </c>
      <c r="N99" s="5">
        <v>0</v>
      </c>
      <c r="O99" t="str">
        <f t="shared" si="13"/>
        <v>BANKNIFTY</v>
      </c>
      <c r="P99" t="str">
        <f>IF(SEARCH("NIFTY",O99),RIGHT(A99,7),0)</f>
        <v>44800CE</v>
      </c>
      <c r="Q99">
        <f t="shared" si="18"/>
        <v>57.851666666666667</v>
      </c>
      <c r="S99">
        <v>-2.9937499999999999</v>
      </c>
    </row>
    <row r="100" spans="1:19" x14ac:dyDescent="0.3">
      <c r="A100" s="1" t="s">
        <v>99</v>
      </c>
      <c r="B100" s="2">
        <v>45036</v>
      </c>
      <c r="C100" s="3">
        <v>2500</v>
      </c>
      <c r="D100" s="3">
        <v>2.2799999999999998</v>
      </c>
      <c r="E100" s="3">
        <v>5705</v>
      </c>
      <c r="F100" s="3">
        <v>2500</v>
      </c>
      <c r="G100" s="3">
        <v>0.7</v>
      </c>
      <c r="H100" s="3">
        <f t="shared" si="12"/>
        <v>-1.5799999999999998</v>
      </c>
      <c r="I100" s="3">
        <v>1740</v>
      </c>
      <c r="J100" s="3" t="s">
        <v>1</v>
      </c>
      <c r="K100" s="3" t="s">
        <v>1</v>
      </c>
      <c r="L100" s="3" t="s">
        <v>1</v>
      </c>
      <c r="M100" s="4">
        <v>-3965</v>
      </c>
      <c r="N100" s="5">
        <v>0</v>
      </c>
      <c r="O100" t="str">
        <f t="shared" si="13"/>
        <v>BANKNIFTY</v>
      </c>
      <c r="P100" t="str">
        <f>IF(SEARCH("NIFTY",O100),RIGHT(A100,7),0)</f>
        <v>43500CE</v>
      </c>
      <c r="Q100">
        <f t="shared" si="18"/>
        <v>-1.5860000000000001</v>
      </c>
      <c r="S100">
        <v>-2.9637500000000001</v>
      </c>
    </row>
    <row r="101" spans="1:19" x14ac:dyDescent="0.3">
      <c r="A101" s="1" t="s">
        <v>100</v>
      </c>
      <c r="B101" s="2">
        <v>45105</v>
      </c>
      <c r="C101" s="3">
        <v>2550</v>
      </c>
      <c r="D101" s="3">
        <v>41.96</v>
      </c>
      <c r="E101" s="3">
        <v>106987.5</v>
      </c>
      <c r="F101" s="3">
        <v>2550</v>
      </c>
      <c r="G101" s="3">
        <v>47.54</v>
      </c>
      <c r="H101" s="3">
        <f t="shared" si="12"/>
        <v>5.5799999999999983</v>
      </c>
      <c r="I101" s="3">
        <v>121228.75</v>
      </c>
      <c r="J101" s="3" t="s">
        <v>1</v>
      </c>
      <c r="K101" s="3" t="s">
        <v>1</v>
      </c>
      <c r="L101" s="3" t="s">
        <v>1</v>
      </c>
      <c r="M101" s="5">
        <v>14241.25</v>
      </c>
      <c r="N101" s="5">
        <v>0</v>
      </c>
      <c r="O101" t="str">
        <f t="shared" si="13"/>
        <v>BANKNIFTY</v>
      </c>
      <c r="P101" t="str">
        <f>IF(SEARCH("NIFTY",O101),RIGHT(A101,7),0)</f>
        <v>44500CE</v>
      </c>
      <c r="Q101">
        <f t="shared" si="18"/>
        <v>5.5848039215686276</v>
      </c>
      <c r="S101">
        <v>-2.9416666666666669</v>
      </c>
    </row>
    <row r="102" spans="1:19" x14ac:dyDescent="0.3">
      <c r="A102" s="1" t="s">
        <v>101</v>
      </c>
      <c r="B102" s="2">
        <v>45085</v>
      </c>
      <c r="C102" s="3">
        <v>3900</v>
      </c>
      <c r="D102" s="3">
        <v>16</v>
      </c>
      <c r="E102" s="3">
        <v>62400</v>
      </c>
      <c r="F102" s="3">
        <v>3900</v>
      </c>
      <c r="G102" s="3">
        <v>17.16</v>
      </c>
      <c r="H102" s="3">
        <f t="shared" si="12"/>
        <v>1.1600000000000001</v>
      </c>
      <c r="I102" s="3">
        <v>66926.25</v>
      </c>
      <c r="J102" s="3" t="s">
        <v>1</v>
      </c>
      <c r="K102" s="3" t="s">
        <v>1</v>
      </c>
      <c r="L102" s="3" t="s">
        <v>1</v>
      </c>
      <c r="M102" s="5">
        <v>4526.25</v>
      </c>
      <c r="N102" s="5">
        <v>0</v>
      </c>
      <c r="O102" t="str">
        <f t="shared" si="13"/>
        <v>BANKNIFTY</v>
      </c>
      <c r="P102" t="str">
        <f>IF(SEARCH("NIFTY",O102),RIGHT(A102,7),0)</f>
        <v>45000CE</v>
      </c>
      <c r="Q102">
        <f t="shared" si="18"/>
        <v>1.1605769230769232</v>
      </c>
      <c r="S102">
        <v>-2.8692307692307693</v>
      </c>
    </row>
    <row r="103" spans="1:19" x14ac:dyDescent="0.3">
      <c r="A103" s="1" t="s">
        <v>102</v>
      </c>
      <c r="B103" s="2">
        <v>45085</v>
      </c>
      <c r="C103" s="3">
        <v>600</v>
      </c>
      <c r="D103" s="3">
        <v>5.55</v>
      </c>
      <c r="E103" s="3">
        <v>3330</v>
      </c>
      <c r="F103" s="3">
        <v>600</v>
      </c>
      <c r="G103" s="3">
        <v>5.0999999999999996</v>
      </c>
      <c r="H103" s="3">
        <f t="shared" si="12"/>
        <v>-0.45000000000000018</v>
      </c>
      <c r="I103" s="3">
        <v>3060</v>
      </c>
      <c r="J103" s="3" t="s">
        <v>1</v>
      </c>
      <c r="K103" s="3" t="s">
        <v>1</v>
      </c>
      <c r="L103" s="3" t="s">
        <v>1</v>
      </c>
      <c r="M103" s="4">
        <v>-270</v>
      </c>
      <c r="N103" s="5">
        <v>0</v>
      </c>
      <c r="O103" t="str">
        <f t="shared" si="13"/>
        <v>BANKNIFTY</v>
      </c>
      <c r="P103" t="str">
        <f>IF(SEARCH("NIFTY",O103),RIGHT(A103,7),0)</f>
        <v>41000PE</v>
      </c>
      <c r="Q103">
        <f t="shared" si="18"/>
        <v>-0.45</v>
      </c>
      <c r="S103">
        <v>-2.8586956521739131</v>
      </c>
    </row>
    <row r="104" spans="1:19" hidden="1" x14ac:dyDescent="0.3">
      <c r="A104" s="1" t="s">
        <v>103</v>
      </c>
      <c r="B104" s="2">
        <v>45034</v>
      </c>
      <c r="C104" s="3">
        <v>7200</v>
      </c>
      <c r="D104" s="3">
        <v>1.19</v>
      </c>
      <c r="E104" s="3">
        <v>8570</v>
      </c>
      <c r="F104" s="3">
        <v>7200</v>
      </c>
      <c r="G104" s="3">
        <v>1.2</v>
      </c>
      <c r="H104" s="3">
        <f t="shared" si="12"/>
        <v>1.0000000000000009E-2</v>
      </c>
      <c r="I104" s="3">
        <v>8610</v>
      </c>
      <c r="J104" s="3" t="s">
        <v>1</v>
      </c>
      <c r="K104" s="3" t="s">
        <v>1</v>
      </c>
      <c r="L104" s="3" t="s">
        <v>1</v>
      </c>
      <c r="M104" s="5">
        <v>40</v>
      </c>
      <c r="N104" s="5">
        <v>0</v>
      </c>
      <c r="O104" t="str">
        <f t="shared" si="13"/>
        <v>FINNIFTY</v>
      </c>
      <c r="P104" t="str">
        <f>IF(SEARCH("NIFTY",O104),RIGHT(A104,7),0)</f>
        <v>19050CE</v>
      </c>
      <c r="S104">
        <v>-2.8</v>
      </c>
    </row>
    <row r="105" spans="1:19" x14ac:dyDescent="0.3">
      <c r="A105" s="1" t="s">
        <v>104</v>
      </c>
      <c r="B105" s="2">
        <v>45162</v>
      </c>
      <c r="C105" s="3">
        <v>450</v>
      </c>
      <c r="D105" s="3">
        <v>5.2</v>
      </c>
      <c r="E105" s="3">
        <v>2340</v>
      </c>
      <c r="F105" s="3">
        <v>450</v>
      </c>
      <c r="G105" s="3">
        <v>5.15</v>
      </c>
      <c r="H105" s="3">
        <f t="shared" si="12"/>
        <v>-4.9999999999999822E-2</v>
      </c>
      <c r="I105" s="3">
        <v>2317.5</v>
      </c>
      <c r="J105" s="3" t="s">
        <v>1</v>
      </c>
      <c r="K105" s="3" t="s">
        <v>1</v>
      </c>
      <c r="L105" s="3" t="s">
        <v>1</v>
      </c>
      <c r="M105" s="4">
        <v>-22.5</v>
      </c>
      <c r="N105" s="5">
        <v>0</v>
      </c>
      <c r="O105" t="str">
        <f t="shared" si="13"/>
        <v>BANKNIFTY</v>
      </c>
      <c r="P105" t="str">
        <f>IF(SEARCH("NIFTY",O105),RIGHT(A105,7),0)</f>
        <v>42000PE</v>
      </c>
      <c r="Q105">
        <f>M105/C105</f>
        <v>-0.05</v>
      </c>
      <c r="S105">
        <v>-2.7083333333333335</v>
      </c>
    </row>
    <row r="106" spans="1:19" hidden="1" x14ac:dyDescent="0.3">
      <c r="A106" s="1" t="s">
        <v>105</v>
      </c>
      <c r="B106" s="2">
        <v>45105</v>
      </c>
      <c r="C106" s="3">
        <v>17500</v>
      </c>
      <c r="D106" s="3">
        <v>949.31</v>
      </c>
      <c r="E106" s="3">
        <v>16612960</v>
      </c>
      <c r="F106" s="3">
        <v>17500</v>
      </c>
      <c r="G106" s="3">
        <v>958</v>
      </c>
      <c r="H106" s="3">
        <f t="shared" si="12"/>
        <v>8.6900000000000546</v>
      </c>
      <c r="I106" s="3">
        <v>16765000</v>
      </c>
      <c r="J106" s="3" t="s">
        <v>1</v>
      </c>
      <c r="K106" s="3" t="s">
        <v>1</v>
      </c>
      <c r="L106" s="3" t="s">
        <v>1</v>
      </c>
      <c r="M106" s="5">
        <v>152040</v>
      </c>
      <c r="N106" s="5">
        <v>0</v>
      </c>
      <c r="O106" t="e">
        <f t="shared" si="13"/>
        <v>#VALUE!</v>
      </c>
      <c r="P106" t="e">
        <f>IF(SEARCH("NIFTY",O106),RIGHT(A106,7),0)</f>
        <v>#VALUE!</v>
      </c>
      <c r="S106">
        <v>-2.6937500000000001</v>
      </c>
    </row>
    <row r="107" spans="1:19" hidden="1" x14ac:dyDescent="0.3">
      <c r="A107" s="1" t="s">
        <v>106</v>
      </c>
      <c r="B107" s="2">
        <v>45085</v>
      </c>
      <c r="C107" s="3">
        <v>5000</v>
      </c>
      <c r="D107" s="3">
        <v>2.1</v>
      </c>
      <c r="E107" s="3">
        <v>10510</v>
      </c>
      <c r="F107" s="3">
        <v>5000</v>
      </c>
      <c r="G107" s="3">
        <v>1.9</v>
      </c>
      <c r="H107" s="3">
        <f t="shared" si="12"/>
        <v>-0.20000000000000018</v>
      </c>
      <c r="I107" s="3">
        <v>9500</v>
      </c>
      <c r="J107" s="3" t="s">
        <v>1</v>
      </c>
      <c r="K107" s="3" t="s">
        <v>1</v>
      </c>
      <c r="L107" s="3" t="s">
        <v>1</v>
      </c>
      <c r="M107" s="4">
        <v>-1010</v>
      </c>
      <c r="N107" s="5">
        <v>0</v>
      </c>
      <c r="O107" t="str">
        <f t="shared" si="13"/>
        <v>NIFTY</v>
      </c>
      <c r="P107" t="str">
        <f>IF(SEARCH("NIFTY",O107),RIGHT(A107,7),0)</f>
        <v>18850CE</v>
      </c>
      <c r="S107">
        <v>-2.6349999999999998</v>
      </c>
    </row>
    <row r="108" spans="1:19" x14ac:dyDescent="0.3">
      <c r="A108" s="1" t="s">
        <v>107</v>
      </c>
      <c r="B108" s="2">
        <v>45127</v>
      </c>
      <c r="C108" s="3">
        <v>300</v>
      </c>
      <c r="D108" s="3">
        <v>29.26</v>
      </c>
      <c r="E108" s="3">
        <v>8778.75</v>
      </c>
      <c r="F108" s="3">
        <v>300</v>
      </c>
      <c r="G108" s="3">
        <v>26.05</v>
      </c>
      <c r="H108" s="3">
        <f t="shared" si="12"/>
        <v>-3.2100000000000009</v>
      </c>
      <c r="I108" s="3">
        <v>7815</v>
      </c>
      <c r="J108" s="3" t="s">
        <v>1</v>
      </c>
      <c r="K108" s="3" t="s">
        <v>1</v>
      </c>
      <c r="L108" s="3" t="s">
        <v>1</v>
      </c>
      <c r="M108" s="4">
        <v>-963.75</v>
      </c>
      <c r="N108" s="5">
        <v>0</v>
      </c>
      <c r="O108" t="str">
        <f t="shared" si="13"/>
        <v>BANKNIFTY</v>
      </c>
      <c r="P108" t="str">
        <f>IF(SEARCH("NIFTY",O108),RIGHT(A108,7),0)</f>
        <v>45500PE</v>
      </c>
      <c r="Q108">
        <f>M108/C108</f>
        <v>-3.2124999999999999</v>
      </c>
      <c r="S108">
        <v>-2.6211666666666669</v>
      </c>
    </row>
    <row r="109" spans="1:19" hidden="1" x14ac:dyDescent="0.3">
      <c r="A109" s="1" t="s">
        <v>108</v>
      </c>
      <c r="B109" s="2">
        <v>45160</v>
      </c>
      <c r="C109" s="3">
        <v>600</v>
      </c>
      <c r="D109" s="3">
        <v>100.71</v>
      </c>
      <c r="E109" s="3">
        <v>60428</v>
      </c>
      <c r="F109" s="3">
        <v>600</v>
      </c>
      <c r="G109" s="3">
        <v>117.89</v>
      </c>
      <c r="H109" s="3">
        <f t="shared" si="12"/>
        <v>17.180000000000007</v>
      </c>
      <c r="I109" s="3">
        <v>70734</v>
      </c>
      <c r="J109" s="3" t="s">
        <v>1</v>
      </c>
      <c r="K109" s="3" t="s">
        <v>1</v>
      </c>
      <c r="L109" s="3" t="s">
        <v>1</v>
      </c>
      <c r="M109" s="5">
        <v>10306</v>
      </c>
      <c r="N109" s="5">
        <v>0</v>
      </c>
      <c r="O109" t="str">
        <f t="shared" si="13"/>
        <v>FINNIFTY</v>
      </c>
      <c r="P109" t="str">
        <f>IF(SEARCH("NIFTY",O109),RIGHT(A109,7),0)</f>
        <v>19700PE</v>
      </c>
      <c r="S109">
        <v>-2.6</v>
      </c>
    </row>
    <row r="110" spans="1:19" x14ac:dyDescent="0.3">
      <c r="A110" s="1" t="s">
        <v>109</v>
      </c>
      <c r="B110" s="2">
        <v>45057</v>
      </c>
      <c r="C110" s="3">
        <v>2200</v>
      </c>
      <c r="D110" s="3">
        <v>34.369999999999997</v>
      </c>
      <c r="E110" s="3">
        <v>75621.25</v>
      </c>
      <c r="F110" s="3">
        <v>2200</v>
      </c>
      <c r="G110" s="3">
        <v>37.54</v>
      </c>
      <c r="H110" s="3">
        <f t="shared" si="12"/>
        <v>3.1700000000000017</v>
      </c>
      <c r="I110" s="3">
        <v>82585</v>
      </c>
      <c r="J110" s="3" t="s">
        <v>1</v>
      </c>
      <c r="K110" s="3" t="s">
        <v>1</v>
      </c>
      <c r="L110" s="3" t="s">
        <v>1</v>
      </c>
      <c r="M110" s="5">
        <v>6963.75</v>
      </c>
      <c r="N110" s="5">
        <v>0</v>
      </c>
      <c r="O110" t="str">
        <f t="shared" si="13"/>
        <v>BANKNIFTY</v>
      </c>
      <c r="P110" t="str">
        <f>IF(SEARCH("NIFTY",O110),RIGHT(A110,7),0)</f>
        <v>42600PE</v>
      </c>
      <c r="Q110">
        <f>M110/C110</f>
        <v>3.1653409090909093</v>
      </c>
      <c r="S110">
        <v>-2.44</v>
      </c>
    </row>
    <row r="111" spans="1:19" hidden="1" x14ac:dyDescent="0.3">
      <c r="A111" s="1" t="s">
        <v>110</v>
      </c>
      <c r="B111" s="2">
        <v>45057</v>
      </c>
      <c r="C111" s="3">
        <v>11000</v>
      </c>
      <c r="D111" s="3">
        <v>27.83</v>
      </c>
      <c r="E111" s="3">
        <v>306160</v>
      </c>
      <c r="F111" s="3">
        <v>11000</v>
      </c>
      <c r="G111" s="3">
        <v>27.29</v>
      </c>
      <c r="H111" s="3">
        <f t="shared" si="12"/>
        <v>-0.53999999999999915</v>
      </c>
      <c r="I111" s="3">
        <v>300212.5</v>
      </c>
      <c r="J111" s="3" t="s">
        <v>1</v>
      </c>
      <c r="K111" s="3" t="s">
        <v>1</v>
      </c>
      <c r="L111" s="3" t="s">
        <v>1</v>
      </c>
      <c r="M111" s="4">
        <v>-5947.5</v>
      </c>
      <c r="N111" s="5">
        <v>0</v>
      </c>
      <c r="O111" t="str">
        <f t="shared" si="13"/>
        <v>NIFTY</v>
      </c>
      <c r="P111" t="str">
        <f>IF(SEARCH("NIFTY",O111),RIGHT(A111,7),0)</f>
        <v>18250PE</v>
      </c>
      <c r="S111">
        <v>-2.4362499999999998</v>
      </c>
    </row>
    <row r="112" spans="1:19" hidden="1" x14ac:dyDescent="0.3">
      <c r="A112" s="1" t="s">
        <v>111</v>
      </c>
      <c r="B112" s="2">
        <v>45141</v>
      </c>
      <c r="C112" s="3">
        <v>2000</v>
      </c>
      <c r="D112" s="3">
        <v>39.799999999999997</v>
      </c>
      <c r="E112" s="3">
        <v>79600</v>
      </c>
      <c r="F112" s="3">
        <v>2000</v>
      </c>
      <c r="G112" s="3">
        <v>56.29</v>
      </c>
      <c r="H112" s="3">
        <f t="shared" si="12"/>
        <v>16.490000000000002</v>
      </c>
      <c r="I112" s="3">
        <v>112572.5</v>
      </c>
      <c r="J112" s="3" t="s">
        <v>1</v>
      </c>
      <c r="K112" s="3" t="s">
        <v>1</v>
      </c>
      <c r="L112" s="3" t="s">
        <v>1</v>
      </c>
      <c r="M112" s="5">
        <v>32972.5</v>
      </c>
      <c r="N112" s="5">
        <v>0</v>
      </c>
      <c r="O112" t="str">
        <f t="shared" si="13"/>
        <v>NIFTY</v>
      </c>
      <c r="P112" t="str">
        <f>IF(SEARCH("NIFTY",O112),RIGHT(A112,7),0)</f>
        <v>19800CE</v>
      </c>
      <c r="S112">
        <v>-2.4269531249999998</v>
      </c>
    </row>
    <row r="113" spans="1:19" hidden="1" x14ac:dyDescent="0.3">
      <c r="A113" s="1" t="s">
        <v>112</v>
      </c>
      <c r="B113" s="2">
        <v>45034</v>
      </c>
      <c r="C113" s="3">
        <v>2000</v>
      </c>
      <c r="D113" s="3">
        <v>1.85</v>
      </c>
      <c r="E113" s="3">
        <v>3700</v>
      </c>
      <c r="F113" s="3">
        <v>2000</v>
      </c>
      <c r="G113" s="3">
        <v>4.8899999999999997</v>
      </c>
      <c r="H113" s="3">
        <f t="shared" si="12"/>
        <v>3.0399999999999996</v>
      </c>
      <c r="I113" s="3">
        <v>9780</v>
      </c>
      <c r="J113" s="3" t="s">
        <v>1</v>
      </c>
      <c r="K113" s="3" t="s">
        <v>1</v>
      </c>
      <c r="L113" s="3" t="s">
        <v>1</v>
      </c>
      <c r="M113" s="5">
        <v>6080</v>
      </c>
      <c r="N113" s="5">
        <v>0</v>
      </c>
      <c r="O113" t="str">
        <f t="shared" si="13"/>
        <v>FINNIFTY</v>
      </c>
      <c r="P113" t="str">
        <f>IF(SEARCH("NIFTY",O113),RIGHT(A113,7),0)</f>
        <v>18750PE</v>
      </c>
      <c r="S113">
        <v>-2.3684027777777779</v>
      </c>
    </row>
    <row r="114" spans="1:19" x14ac:dyDescent="0.3">
      <c r="A114" s="1" t="s">
        <v>113</v>
      </c>
      <c r="B114" s="2">
        <v>45057</v>
      </c>
      <c r="C114" s="3">
        <v>900</v>
      </c>
      <c r="D114" s="3">
        <v>59</v>
      </c>
      <c r="E114" s="3">
        <v>53096.25</v>
      </c>
      <c r="F114" s="3">
        <v>900</v>
      </c>
      <c r="G114" s="3">
        <v>49.98</v>
      </c>
      <c r="H114" s="3">
        <f t="shared" si="12"/>
        <v>-9.0200000000000031</v>
      </c>
      <c r="I114" s="3">
        <v>44986.25</v>
      </c>
      <c r="J114" s="3" t="s">
        <v>1</v>
      </c>
      <c r="K114" s="3" t="s">
        <v>1</v>
      </c>
      <c r="L114" s="3" t="s">
        <v>1</v>
      </c>
      <c r="M114" s="4">
        <v>-8110</v>
      </c>
      <c r="N114" s="5">
        <v>0</v>
      </c>
      <c r="O114" t="str">
        <f t="shared" si="13"/>
        <v>BANKNIFTY</v>
      </c>
      <c r="P114" t="str">
        <f>IF(SEARCH("NIFTY",O114),RIGHT(A114,7),0)</f>
        <v>42900PE</v>
      </c>
      <c r="Q114">
        <f>M114/C114</f>
        <v>-9.0111111111111111</v>
      </c>
      <c r="S114">
        <v>-2.36</v>
      </c>
    </row>
    <row r="115" spans="1:19" hidden="1" x14ac:dyDescent="0.3">
      <c r="A115" s="1" t="s">
        <v>114</v>
      </c>
      <c r="B115" s="2">
        <v>45141</v>
      </c>
      <c r="C115" s="3">
        <v>1000</v>
      </c>
      <c r="D115" s="3">
        <v>74.2</v>
      </c>
      <c r="E115" s="3">
        <v>74200</v>
      </c>
      <c r="F115" s="3">
        <v>1000</v>
      </c>
      <c r="G115" s="3">
        <v>98.84</v>
      </c>
      <c r="H115" s="3">
        <f t="shared" si="12"/>
        <v>24.64</v>
      </c>
      <c r="I115" s="3">
        <v>98842.5</v>
      </c>
      <c r="J115" s="3" t="s">
        <v>1</v>
      </c>
      <c r="K115" s="3" t="s">
        <v>1</v>
      </c>
      <c r="L115" s="3" t="s">
        <v>1</v>
      </c>
      <c r="M115" s="5">
        <v>24642.5</v>
      </c>
      <c r="N115" s="5">
        <v>0</v>
      </c>
      <c r="O115" t="str">
        <f t="shared" si="13"/>
        <v>NIFTY</v>
      </c>
      <c r="P115" t="str">
        <f>IF(SEARCH("NIFTY",O115),RIGHT(A115,7),0)</f>
        <v>19700PE</v>
      </c>
      <c r="S115">
        <v>-2.3361111111111112</v>
      </c>
    </row>
    <row r="116" spans="1:19" x14ac:dyDescent="0.3">
      <c r="A116" s="1" t="s">
        <v>115</v>
      </c>
      <c r="B116" s="2">
        <v>45099</v>
      </c>
      <c r="C116" s="3">
        <v>1900</v>
      </c>
      <c r="D116" s="3">
        <v>28.29</v>
      </c>
      <c r="E116" s="3">
        <v>53743.75</v>
      </c>
      <c r="F116" s="3">
        <v>1900</v>
      </c>
      <c r="G116" s="3">
        <v>34.25</v>
      </c>
      <c r="H116" s="3">
        <f t="shared" si="12"/>
        <v>5.9600000000000009</v>
      </c>
      <c r="I116" s="3">
        <v>65083.75</v>
      </c>
      <c r="J116" s="3" t="s">
        <v>1</v>
      </c>
      <c r="K116" s="3" t="s">
        <v>1</v>
      </c>
      <c r="L116" s="3" t="s">
        <v>1</v>
      </c>
      <c r="M116" s="5">
        <v>11340</v>
      </c>
      <c r="N116" s="5">
        <v>0</v>
      </c>
      <c r="O116" t="str">
        <f t="shared" si="13"/>
        <v>BANKNIFTY</v>
      </c>
      <c r="P116" t="str">
        <f>IF(SEARCH("NIFTY",O116),RIGHT(A116,7),0)</f>
        <v>43100PE</v>
      </c>
      <c r="Q116">
        <f t="shared" ref="Q116:Q117" si="19">M116/C116</f>
        <v>5.9684210526315793</v>
      </c>
      <c r="S116">
        <v>-2.2964285714285713</v>
      </c>
    </row>
    <row r="117" spans="1:19" x14ac:dyDescent="0.3">
      <c r="A117" s="1" t="s">
        <v>116</v>
      </c>
      <c r="B117" s="2">
        <v>45134</v>
      </c>
      <c r="C117" s="3">
        <v>375</v>
      </c>
      <c r="D117" s="3">
        <v>76.8</v>
      </c>
      <c r="E117" s="3">
        <v>28800</v>
      </c>
      <c r="F117" s="3">
        <v>375</v>
      </c>
      <c r="G117" s="3">
        <v>68.03</v>
      </c>
      <c r="H117" s="3">
        <f t="shared" si="12"/>
        <v>-8.769999999999996</v>
      </c>
      <c r="I117" s="3">
        <v>25512.75</v>
      </c>
      <c r="J117" s="3" t="s">
        <v>1</v>
      </c>
      <c r="K117" s="3" t="s">
        <v>1</v>
      </c>
      <c r="L117" s="3" t="s">
        <v>1</v>
      </c>
      <c r="M117" s="4">
        <v>-3287.25</v>
      </c>
      <c r="N117" s="5">
        <v>0</v>
      </c>
      <c r="O117" t="str">
        <f t="shared" si="13"/>
        <v>BANKNIFTY</v>
      </c>
      <c r="P117" t="str">
        <f>IF(SEARCH("NIFTY",O117),RIGHT(A117,7),0)</f>
        <v>46200CE</v>
      </c>
      <c r="Q117">
        <f t="shared" si="19"/>
        <v>-8.766</v>
      </c>
      <c r="S117">
        <v>-2.2825000000000002</v>
      </c>
    </row>
    <row r="118" spans="1:19" hidden="1" x14ac:dyDescent="0.3">
      <c r="A118" s="1" t="s">
        <v>117</v>
      </c>
      <c r="B118" s="2">
        <v>45127</v>
      </c>
      <c r="C118" s="3">
        <v>250</v>
      </c>
      <c r="D118" s="3">
        <v>6.45</v>
      </c>
      <c r="E118" s="3">
        <v>1612.5</v>
      </c>
      <c r="F118" s="3">
        <v>250</v>
      </c>
      <c r="G118" s="3">
        <v>5.9</v>
      </c>
      <c r="H118" s="3">
        <f t="shared" si="12"/>
        <v>-0.54999999999999982</v>
      </c>
      <c r="I118" s="3">
        <v>1475</v>
      </c>
      <c r="J118" s="3" t="s">
        <v>1</v>
      </c>
      <c r="K118" s="3" t="s">
        <v>1</v>
      </c>
      <c r="L118" s="3" t="s">
        <v>1</v>
      </c>
      <c r="M118" s="4">
        <v>-137.5</v>
      </c>
      <c r="N118" s="5">
        <v>0</v>
      </c>
      <c r="O118" t="str">
        <f t="shared" si="13"/>
        <v>NIFTY</v>
      </c>
      <c r="P118" t="str">
        <f>IF(SEARCH("NIFTY",O118),RIGHT(A118,7),0)</f>
        <v>19100PE</v>
      </c>
      <c r="S118">
        <v>-2.25</v>
      </c>
    </row>
    <row r="119" spans="1:19" hidden="1" x14ac:dyDescent="0.3">
      <c r="A119" s="1" t="s">
        <v>118</v>
      </c>
      <c r="B119" s="2">
        <v>45125</v>
      </c>
      <c r="C119" s="3">
        <v>400</v>
      </c>
      <c r="D119" s="3">
        <v>38.299999999999997</v>
      </c>
      <c r="E119" s="3">
        <v>15320</v>
      </c>
      <c r="F119" s="3">
        <v>400</v>
      </c>
      <c r="G119" s="3">
        <v>37.700000000000003</v>
      </c>
      <c r="H119" s="3">
        <f t="shared" si="12"/>
        <v>-0.59999999999999432</v>
      </c>
      <c r="I119" s="3">
        <v>15080</v>
      </c>
      <c r="J119" s="3" t="s">
        <v>1</v>
      </c>
      <c r="K119" s="3" t="s">
        <v>1</v>
      </c>
      <c r="L119" s="3" t="s">
        <v>1</v>
      </c>
      <c r="M119" s="4">
        <v>-240</v>
      </c>
      <c r="N119" s="5">
        <v>0</v>
      </c>
      <c r="O119" t="str">
        <f t="shared" si="13"/>
        <v>FINNIFTY</v>
      </c>
      <c r="P119" t="str">
        <f>IF(SEARCH("NIFTY",O119),RIGHT(A119,7),0)</f>
        <v>20200PE</v>
      </c>
      <c r="S119">
        <v>-2.2156645569620252</v>
      </c>
    </row>
    <row r="120" spans="1:19" x14ac:dyDescent="0.3">
      <c r="A120" s="1" t="s">
        <v>119</v>
      </c>
      <c r="B120" s="2">
        <v>45057</v>
      </c>
      <c r="C120" s="3">
        <v>2500</v>
      </c>
      <c r="D120" s="3">
        <v>25.81</v>
      </c>
      <c r="E120" s="3">
        <v>64536.25</v>
      </c>
      <c r="F120" s="3">
        <v>2500</v>
      </c>
      <c r="G120" s="3">
        <v>25.63</v>
      </c>
      <c r="H120" s="3">
        <f t="shared" si="12"/>
        <v>-0.17999999999999972</v>
      </c>
      <c r="I120" s="3">
        <v>64073.75</v>
      </c>
      <c r="J120" s="3" t="s">
        <v>1</v>
      </c>
      <c r="K120" s="3" t="s">
        <v>1</v>
      </c>
      <c r="L120" s="3" t="s">
        <v>1</v>
      </c>
      <c r="M120" s="4">
        <v>-462.5</v>
      </c>
      <c r="N120" s="5">
        <v>0</v>
      </c>
      <c r="O120" t="str">
        <f t="shared" si="13"/>
        <v>BANKNIFTY</v>
      </c>
      <c r="P120" t="str">
        <f>IF(SEARCH("NIFTY",O120),RIGHT(A120,7),0)</f>
        <v>43800CE</v>
      </c>
      <c r="Q120">
        <f>M120/C120</f>
        <v>-0.185</v>
      </c>
      <c r="S120">
        <v>-2.2010416666666668</v>
      </c>
    </row>
    <row r="121" spans="1:19" hidden="1" x14ac:dyDescent="0.3">
      <c r="A121" s="1" t="s">
        <v>120</v>
      </c>
      <c r="B121" s="2">
        <v>45050</v>
      </c>
      <c r="C121" s="3">
        <v>12900</v>
      </c>
      <c r="D121" s="3">
        <v>21.02</v>
      </c>
      <c r="E121" s="3">
        <v>271100</v>
      </c>
      <c r="F121" s="3">
        <v>12900</v>
      </c>
      <c r="G121" s="3">
        <v>22.16</v>
      </c>
      <c r="H121" s="3">
        <f t="shared" si="12"/>
        <v>1.1400000000000006</v>
      </c>
      <c r="I121" s="3">
        <v>285870</v>
      </c>
      <c r="J121" s="3" t="s">
        <v>1</v>
      </c>
      <c r="K121" s="3" t="s">
        <v>1</v>
      </c>
      <c r="L121" s="3" t="s">
        <v>1</v>
      </c>
      <c r="M121" s="5">
        <v>14770</v>
      </c>
      <c r="N121" s="5">
        <v>0</v>
      </c>
      <c r="O121" t="str">
        <f t="shared" si="13"/>
        <v>NIFTY</v>
      </c>
      <c r="P121" t="str">
        <f>IF(SEARCH("NIFTY",O121),RIGHT(A121,7),0)</f>
        <v>18200PE</v>
      </c>
      <c r="S121">
        <v>-2.1905303030303029</v>
      </c>
    </row>
    <row r="122" spans="1:19" x14ac:dyDescent="0.3">
      <c r="A122" s="1" t="s">
        <v>121</v>
      </c>
      <c r="B122" s="2">
        <v>45099</v>
      </c>
      <c r="C122" s="3">
        <v>3000</v>
      </c>
      <c r="D122" s="3">
        <v>9.1</v>
      </c>
      <c r="E122" s="3">
        <v>27305</v>
      </c>
      <c r="F122" s="3">
        <v>3000</v>
      </c>
      <c r="G122" s="3">
        <v>10.25</v>
      </c>
      <c r="H122" s="3">
        <f t="shared" si="12"/>
        <v>1.1500000000000004</v>
      </c>
      <c r="I122" s="3">
        <v>30755</v>
      </c>
      <c r="J122" s="3" t="s">
        <v>1</v>
      </c>
      <c r="K122" s="3" t="s">
        <v>1</v>
      </c>
      <c r="L122" s="3" t="s">
        <v>1</v>
      </c>
      <c r="M122" s="5">
        <v>3450</v>
      </c>
      <c r="N122" s="5">
        <v>0</v>
      </c>
      <c r="O122" t="str">
        <f t="shared" si="13"/>
        <v>BANKNIFTY</v>
      </c>
      <c r="P122" t="str">
        <f>IF(SEARCH("NIFTY",O122),RIGHT(A122,7),0)</f>
        <v>42500PE</v>
      </c>
      <c r="Q122">
        <f t="shared" ref="Q122:Q124" si="20">M122/C122</f>
        <v>1.1499999999999999</v>
      </c>
      <c r="S122">
        <v>-2.1549999999999998</v>
      </c>
    </row>
    <row r="123" spans="1:19" x14ac:dyDescent="0.3">
      <c r="A123" s="1" t="s">
        <v>122</v>
      </c>
      <c r="B123" s="2">
        <v>45064</v>
      </c>
      <c r="C123" s="3">
        <v>900</v>
      </c>
      <c r="D123" s="3">
        <v>65.92</v>
      </c>
      <c r="E123" s="3">
        <v>59325</v>
      </c>
      <c r="F123" s="3">
        <v>900</v>
      </c>
      <c r="G123" s="3">
        <v>46.7</v>
      </c>
      <c r="H123" s="3">
        <f t="shared" si="12"/>
        <v>-19.22</v>
      </c>
      <c r="I123" s="3">
        <v>42026.25</v>
      </c>
      <c r="J123" s="3" t="s">
        <v>1</v>
      </c>
      <c r="K123" s="3" t="s">
        <v>1</v>
      </c>
      <c r="L123" s="3" t="s">
        <v>1</v>
      </c>
      <c r="M123" s="4">
        <v>-17298.75</v>
      </c>
      <c r="N123" s="5">
        <v>0</v>
      </c>
      <c r="O123" t="str">
        <f t="shared" si="13"/>
        <v>BANKNIFTY</v>
      </c>
      <c r="P123" t="str">
        <f>IF(SEARCH("NIFTY",O123),RIGHT(A123,7),0)</f>
        <v>44000CE</v>
      </c>
      <c r="Q123">
        <f t="shared" si="20"/>
        <v>-19.220833333333335</v>
      </c>
      <c r="S123">
        <v>-2.0494318181818181</v>
      </c>
    </row>
    <row r="124" spans="1:19" x14ac:dyDescent="0.3">
      <c r="A124" s="1" t="s">
        <v>123</v>
      </c>
      <c r="B124" s="2">
        <v>45127</v>
      </c>
      <c r="C124" s="3">
        <v>800</v>
      </c>
      <c r="D124" s="3">
        <v>3.5</v>
      </c>
      <c r="E124" s="3">
        <v>2800</v>
      </c>
      <c r="F124" s="3">
        <v>800</v>
      </c>
      <c r="G124" s="3">
        <v>0.25</v>
      </c>
      <c r="H124" s="3">
        <f t="shared" si="12"/>
        <v>-3.25</v>
      </c>
      <c r="I124" s="3">
        <v>200</v>
      </c>
      <c r="J124" s="3" t="s">
        <v>1</v>
      </c>
      <c r="K124" s="3" t="s">
        <v>1</v>
      </c>
      <c r="L124" s="3" t="s">
        <v>1</v>
      </c>
      <c r="M124" s="4">
        <v>-2600</v>
      </c>
      <c r="N124" s="5">
        <v>0</v>
      </c>
      <c r="O124" t="str">
        <f t="shared" si="13"/>
        <v>BANKNIFTY</v>
      </c>
      <c r="P124" t="str">
        <f>IF(SEARCH("NIFTY",O124),RIGHT(A124,7),0)</f>
        <v>42000PE</v>
      </c>
      <c r="Q124">
        <f t="shared" si="20"/>
        <v>-3.25</v>
      </c>
      <c r="S124">
        <v>-2.0166666666666666</v>
      </c>
    </row>
    <row r="125" spans="1:19" hidden="1" x14ac:dyDescent="0.3">
      <c r="A125" s="1" t="s">
        <v>124</v>
      </c>
      <c r="B125" s="2">
        <v>45092</v>
      </c>
      <c r="C125" s="3">
        <v>2500</v>
      </c>
      <c r="D125" s="3">
        <v>0.89</v>
      </c>
      <c r="E125" s="3">
        <v>2225</v>
      </c>
      <c r="F125" s="3">
        <v>2500</v>
      </c>
      <c r="G125" s="3">
        <v>0.5</v>
      </c>
      <c r="H125" s="3">
        <f t="shared" si="12"/>
        <v>-0.39</v>
      </c>
      <c r="I125" s="3">
        <v>1250</v>
      </c>
      <c r="J125" s="3" t="s">
        <v>1</v>
      </c>
      <c r="K125" s="3" t="s">
        <v>1</v>
      </c>
      <c r="L125" s="3" t="s">
        <v>1</v>
      </c>
      <c r="M125" s="4">
        <v>-975</v>
      </c>
      <c r="N125" s="5">
        <v>0</v>
      </c>
      <c r="O125" t="str">
        <f t="shared" si="13"/>
        <v>NIFTY</v>
      </c>
      <c r="P125" t="str">
        <f>IF(SEARCH("NIFTY",O125),RIGHT(A125,7),0)</f>
        <v>18950CE</v>
      </c>
      <c r="S125">
        <v>-1.9327586206896552</v>
      </c>
    </row>
    <row r="126" spans="1:19" x14ac:dyDescent="0.3">
      <c r="A126" s="1" t="s">
        <v>125</v>
      </c>
      <c r="B126" s="2">
        <v>45120</v>
      </c>
      <c r="C126" s="3">
        <v>650</v>
      </c>
      <c r="D126" s="3">
        <v>4.99</v>
      </c>
      <c r="E126" s="3">
        <v>3242.5</v>
      </c>
      <c r="F126" s="3">
        <v>650</v>
      </c>
      <c r="G126" s="3">
        <v>3.15</v>
      </c>
      <c r="H126" s="3">
        <f t="shared" si="12"/>
        <v>-1.8400000000000003</v>
      </c>
      <c r="I126" s="3">
        <v>2050</v>
      </c>
      <c r="J126" s="3" t="s">
        <v>1</v>
      </c>
      <c r="K126" s="3" t="s">
        <v>1</v>
      </c>
      <c r="L126" s="3" t="s">
        <v>1</v>
      </c>
      <c r="M126" s="4">
        <v>-1192.5</v>
      </c>
      <c r="N126" s="5">
        <v>0</v>
      </c>
      <c r="O126" t="str">
        <f t="shared" si="13"/>
        <v>BANKNIFTY</v>
      </c>
      <c r="P126" t="str">
        <f>IF(SEARCH("NIFTY",O126),RIGHT(A126,7),0)</f>
        <v>43900PE</v>
      </c>
      <c r="Q126">
        <f t="shared" ref="Q126:Q127" si="21">M126/C126</f>
        <v>-1.8346153846153845</v>
      </c>
      <c r="S126">
        <v>-1.9154411764705883</v>
      </c>
    </row>
    <row r="127" spans="1:19" x14ac:dyDescent="0.3">
      <c r="A127" s="1" t="s">
        <v>126</v>
      </c>
      <c r="B127" s="2">
        <v>45036</v>
      </c>
      <c r="C127" s="3">
        <v>4825</v>
      </c>
      <c r="D127" s="3">
        <v>3.63</v>
      </c>
      <c r="E127" s="3">
        <v>17527.5</v>
      </c>
      <c r="F127" s="3">
        <v>4825</v>
      </c>
      <c r="G127" s="3">
        <v>3.73</v>
      </c>
      <c r="H127" s="3">
        <f t="shared" si="12"/>
        <v>0.10000000000000009</v>
      </c>
      <c r="I127" s="3">
        <v>18017.5</v>
      </c>
      <c r="J127" s="3" t="s">
        <v>1</v>
      </c>
      <c r="K127" s="3" t="s">
        <v>1</v>
      </c>
      <c r="L127" s="3" t="s">
        <v>1</v>
      </c>
      <c r="M127" s="5">
        <v>490</v>
      </c>
      <c r="N127" s="5">
        <v>0</v>
      </c>
      <c r="O127" t="str">
        <f t="shared" si="13"/>
        <v>BANKNIFTY</v>
      </c>
      <c r="P127" t="str">
        <f>IF(SEARCH("NIFTY",O127),RIGHT(A127,7),0)</f>
        <v>40000PE</v>
      </c>
      <c r="Q127">
        <f t="shared" si="21"/>
        <v>0.10155440414507771</v>
      </c>
      <c r="S127">
        <v>-1.9</v>
      </c>
    </row>
    <row r="128" spans="1:19" hidden="1" x14ac:dyDescent="0.3">
      <c r="A128" s="1" t="s">
        <v>127</v>
      </c>
      <c r="B128" s="2">
        <v>45036</v>
      </c>
      <c r="C128" s="3">
        <v>1750</v>
      </c>
      <c r="D128" s="3">
        <v>3.4</v>
      </c>
      <c r="E128" s="3">
        <v>5950</v>
      </c>
      <c r="F128" s="3">
        <v>1750</v>
      </c>
      <c r="G128" s="3">
        <v>6.59</v>
      </c>
      <c r="H128" s="3">
        <f t="shared" si="12"/>
        <v>3.19</v>
      </c>
      <c r="I128" s="3">
        <v>11525</v>
      </c>
      <c r="J128" s="3" t="s">
        <v>1</v>
      </c>
      <c r="K128" s="3" t="s">
        <v>1</v>
      </c>
      <c r="L128" s="3" t="s">
        <v>1</v>
      </c>
      <c r="M128" s="5">
        <v>5575</v>
      </c>
      <c r="N128" s="5">
        <v>0</v>
      </c>
      <c r="O128" t="str">
        <f t="shared" si="13"/>
        <v>NIFTY</v>
      </c>
      <c r="P128" t="str">
        <f>IF(SEARCH("NIFTY",O128),RIGHT(A128,7),0)</f>
        <v>17650CE</v>
      </c>
      <c r="S128">
        <v>-1.8894736842105264</v>
      </c>
    </row>
    <row r="129" spans="1:19" hidden="1" x14ac:dyDescent="0.3">
      <c r="A129" s="1" t="s">
        <v>128</v>
      </c>
      <c r="B129" s="2">
        <v>45057</v>
      </c>
      <c r="C129" s="3">
        <v>12750</v>
      </c>
      <c r="D129" s="3">
        <v>19.690000000000001</v>
      </c>
      <c r="E129" s="3">
        <v>251017.5</v>
      </c>
      <c r="F129" s="3">
        <v>12750</v>
      </c>
      <c r="G129" s="3">
        <v>20.92</v>
      </c>
      <c r="H129" s="3">
        <f t="shared" si="12"/>
        <v>1.2300000000000004</v>
      </c>
      <c r="I129" s="3">
        <v>266755</v>
      </c>
      <c r="J129" s="3" t="s">
        <v>1</v>
      </c>
      <c r="K129" s="3" t="s">
        <v>1</v>
      </c>
      <c r="L129" s="3" t="s">
        <v>1</v>
      </c>
      <c r="M129" s="5">
        <v>15737.5</v>
      </c>
      <c r="N129" s="5">
        <v>0</v>
      </c>
      <c r="O129" t="str">
        <f t="shared" si="13"/>
        <v>NIFTY</v>
      </c>
      <c r="P129" t="str">
        <f>IF(SEARCH("NIFTY",O129),RIGHT(A129,7),0)</f>
        <v>18400CE</v>
      </c>
      <c r="S129">
        <v>-1.8509259259259259</v>
      </c>
    </row>
    <row r="130" spans="1:19" hidden="1" x14ac:dyDescent="0.3">
      <c r="A130" s="1" t="s">
        <v>129</v>
      </c>
      <c r="B130" s="2">
        <v>45050</v>
      </c>
      <c r="C130" s="3">
        <v>2000</v>
      </c>
      <c r="D130" s="3">
        <v>42.85</v>
      </c>
      <c r="E130" s="3">
        <v>85700</v>
      </c>
      <c r="F130" s="3">
        <v>2000</v>
      </c>
      <c r="G130" s="3">
        <v>25.73</v>
      </c>
      <c r="H130" s="3">
        <f t="shared" si="12"/>
        <v>-17.12</v>
      </c>
      <c r="I130" s="3">
        <v>51455</v>
      </c>
      <c r="J130" s="3" t="s">
        <v>1</v>
      </c>
      <c r="K130" s="3" t="s">
        <v>1</v>
      </c>
      <c r="L130" s="3" t="s">
        <v>1</v>
      </c>
      <c r="M130" s="4">
        <v>-34245</v>
      </c>
      <c r="N130" s="5">
        <v>0</v>
      </c>
      <c r="O130" t="str">
        <f t="shared" si="13"/>
        <v>NIFTY</v>
      </c>
      <c r="P130" t="str">
        <f>IF(SEARCH("NIFTY",O130),RIGHT(A130,7),0)</f>
        <v>18100CE</v>
      </c>
      <c r="S130">
        <v>-1.85</v>
      </c>
    </row>
    <row r="131" spans="1:19" hidden="1" x14ac:dyDescent="0.3">
      <c r="A131" s="1" t="s">
        <v>130</v>
      </c>
      <c r="B131" s="2">
        <v>45197</v>
      </c>
      <c r="C131" s="3">
        <v>3200</v>
      </c>
      <c r="D131" s="3">
        <v>20.13</v>
      </c>
      <c r="E131" s="3">
        <v>64425</v>
      </c>
      <c r="F131" s="3">
        <v>3200</v>
      </c>
      <c r="G131" s="3">
        <v>17.100000000000001</v>
      </c>
      <c r="H131" s="3">
        <f t="shared" ref="H131:H194" si="22">G131-D131</f>
        <v>-3.0299999999999976</v>
      </c>
      <c r="I131" s="3">
        <v>54720</v>
      </c>
      <c r="J131" s="3" t="s">
        <v>1</v>
      </c>
      <c r="K131" s="3" t="s">
        <v>1</v>
      </c>
      <c r="L131" s="3" t="s">
        <v>1</v>
      </c>
      <c r="M131" s="4">
        <v>-9705</v>
      </c>
      <c r="N131" s="5">
        <v>0</v>
      </c>
      <c r="O131" t="e">
        <f t="shared" ref="O131:O194" si="23">LEFT(A131, FIND("NIFTY", A131) +4)</f>
        <v>#VALUE!</v>
      </c>
      <c r="P131" t="e">
        <f>IF(SEARCH("NIFTY",O131),RIGHT(A131,7),0)</f>
        <v>#VALUE!</v>
      </c>
      <c r="S131">
        <v>-1.8346153846153845</v>
      </c>
    </row>
    <row r="132" spans="1:19" x14ac:dyDescent="0.3">
      <c r="A132" s="1" t="s">
        <v>131</v>
      </c>
      <c r="B132" s="2">
        <v>45113</v>
      </c>
      <c r="C132" s="3">
        <v>300</v>
      </c>
      <c r="D132" s="3">
        <v>8.25</v>
      </c>
      <c r="E132" s="3">
        <v>2475</v>
      </c>
      <c r="F132" s="3">
        <v>300</v>
      </c>
      <c r="G132" s="3">
        <v>6.5</v>
      </c>
      <c r="H132" s="3">
        <f t="shared" si="22"/>
        <v>-1.75</v>
      </c>
      <c r="I132" s="3">
        <v>1950</v>
      </c>
      <c r="J132" s="3" t="s">
        <v>1</v>
      </c>
      <c r="K132" s="3" t="s">
        <v>1</v>
      </c>
      <c r="L132" s="3" t="s">
        <v>1</v>
      </c>
      <c r="M132" s="4">
        <v>-525</v>
      </c>
      <c r="N132" s="5">
        <v>0</v>
      </c>
      <c r="O132" t="str">
        <f t="shared" si="23"/>
        <v>BANKNIFTY</v>
      </c>
      <c r="P132" t="str">
        <f>IF(SEARCH("NIFTY",O132),RIGHT(A132,7),0)</f>
        <v>44200PE</v>
      </c>
      <c r="Q132">
        <f>M132/C132</f>
        <v>-1.75</v>
      </c>
      <c r="S132">
        <v>-1.8</v>
      </c>
    </row>
    <row r="133" spans="1:19" hidden="1" x14ac:dyDescent="0.3">
      <c r="A133" s="1" t="s">
        <v>132</v>
      </c>
      <c r="B133" s="2">
        <v>45034</v>
      </c>
      <c r="C133" s="3">
        <v>7040</v>
      </c>
      <c r="D133" s="3">
        <v>3.89</v>
      </c>
      <c r="E133" s="3">
        <v>27380</v>
      </c>
      <c r="F133" s="3">
        <v>7040</v>
      </c>
      <c r="G133" s="3">
        <v>3.35</v>
      </c>
      <c r="H133" s="3">
        <f t="shared" si="22"/>
        <v>-0.54</v>
      </c>
      <c r="I133" s="3">
        <v>23576</v>
      </c>
      <c r="J133" s="3" t="s">
        <v>1</v>
      </c>
      <c r="K133" s="3" t="s">
        <v>1</v>
      </c>
      <c r="L133" s="3" t="s">
        <v>1</v>
      </c>
      <c r="M133" s="4">
        <v>-3804</v>
      </c>
      <c r="N133" s="5">
        <v>0</v>
      </c>
      <c r="O133" t="str">
        <f t="shared" si="23"/>
        <v>FINNIFTY</v>
      </c>
      <c r="P133" t="str">
        <f>IF(SEARCH("NIFTY",O133),RIGHT(A133,7),0)</f>
        <v>19000CE</v>
      </c>
      <c r="S133">
        <v>-1.799342105263158</v>
      </c>
    </row>
    <row r="134" spans="1:19" x14ac:dyDescent="0.3">
      <c r="A134" s="1" t="s">
        <v>133</v>
      </c>
      <c r="B134" s="2">
        <v>45050</v>
      </c>
      <c r="C134" s="3">
        <v>4500</v>
      </c>
      <c r="D134" s="3">
        <v>7.39</v>
      </c>
      <c r="E134" s="3">
        <v>33247.5</v>
      </c>
      <c r="F134" s="3">
        <v>4500</v>
      </c>
      <c r="G134" s="3">
        <v>7.21</v>
      </c>
      <c r="H134" s="3">
        <f t="shared" si="22"/>
        <v>-0.17999999999999972</v>
      </c>
      <c r="I134" s="3">
        <v>32425</v>
      </c>
      <c r="J134" s="3" t="s">
        <v>1</v>
      </c>
      <c r="K134" s="3" t="s">
        <v>1</v>
      </c>
      <c r="L134" s="3" t="s">
        <v>1</v>
      </c>
      <c r="M134" s="4">
        <v>-822.5</v>
      </c>
      <c r="N134" s="5">
        <v>0</v>
      </c>
      <c r="O134" t="str">
        <f t="shared" si="23"/>
        <v>BANKNIFTY</v>
      </c>
      <c r="P134" t="str">
        <f>IF(SEARCH("NIFTY",O134),RIGHT(A134,7),0)</f>
        <v>41000PE</v>
      </c>
      <c r="Q134">
        <f t="shared" ref="Q134:Q137" si="24">M134/C134</f>
        <v>-0.18277777777777779</v>
      </c>
      <c r="S134">
        <v>-1.765625</v>
      </c>
    </row>
    <row r="135" spans="1:19" x14ac:dyDescent="0.3">
      <c r="A135" s="1" t="s">
        <v>134</v>
      </c>
      <c r="B135" s="2">
        <v>45057</v>
      </c>
      <c r="C135" s="3">
        <v>3050</v>
      </c>
      <c r="D135" s="3">
        <v>32.22</v>
      </c>
      <c r="E135" s="3">
        <v>98285</v>
      </c>
      <c r="F135" s="3">
        <v>3050</v>
      </c>
      <c r="G135" s="3">
        <v>26.74</v>
      </c>
      <c r="H135" s="3">
        <f t="shared" si="22"/>
        <v>-5.48</v>
      </c>
      <c r="I135" s="3">
        <v>81552.5</v>
      </c>
      <c r="J135" s="3" t="s">
        <v>1</v>
      </c>
      <c r="K135" s="3" t="s">
        <v>1</v>
      </c>
      <c r="L135" s="3" t="s">
        <v>1</v>
      </c>
      <c r="M135" s="4">
        <v>-16732.5</v>
      </c>
      <c r="N135" s="5">
        <v>0</v>
      </c>
      <c r="O135" t="str">
        <f t="shared" si="23"/>
        <v>BANKNIFTY</v>
      </c>
      <c r="P135" t="str">
        <f>IF(SEARCH("NIFTY",O135),RIGHT(A135,7),0)</f>
        <v>42500PE</v>
      </c>
      <c r="Q135">
        <f t="shared" si="24"/>
        <v>-5.4860655737704915</v>
      </c>
      <c r="S135">
        <v>-1.75</v>
      </c>
    </row>
    <row r="136" spans="1:19" x14ac:dyDescent="0.3">
      <c r="A136" s="1" t="s">
        <v>135</v>
      </c>
      <c r="B136" s="2">
        <v>45064</v>
      </c>
      <c r="C136" s="3">
        <v>1100</v>
      </c>
      <c r="D136" s="3">
        <v>35.69</v>
      </c>
      <c r="E136" s="3">
        <v>39255</v>
      </c>
      <c r="F136" s="3">
        <v>1100</v>
      </c>
      <c r="G136" s="3">
        <v>28.57</v>
      </c>
      <c r="H136" s="3">
        <f t="shared" si="22"/>
        <v>-7.1199999999999974</v>
      </c>
      <c r="I136" s="3">
        <v>31430</v>
      </c>
      <c r="J136" s="3" t="s">
        <v>1</v>
      </c>
      <c r="K136" s="3" t="s">
        <v>1</v>
      </c>
      <c r="L136" s="3" t="s">
        <v>1</v>
      </c>
      <c r="M136" s="4">
        <v>-7825</v>
      </c>
      <c r="N136" s="5">
        <v>0</v>
      </c>
      <c r="O136" t="str">
        <f t="shared" si="23"/>
        <v>BANKNIFTY</v>
      </c>
      <c r="P136" t="str">
        <f>IF(SEARCH("NIFTY",O136),RIGHT(A136,7),0)</f>
        <v>44100CE</v>
      </c>
      <c r="Q136">
        <f t="shared" si="24"/>
        <v>-7.1136363636363633</v>
      </c>
      <c r="S136">
        <v>-1.7469298245614036</v>
      </c>
    </row>
    <row r="137" spans="1:19" x14ac:dyDescent="0.3">
      <c r="A137" s="1" t="s">
        <v>136</v>
      </c>
      <c r="B137" s="2">
        <v>45134</v>
      </c>
      <c r="C137" s="3">
        <v>930</v>
      </c>
      <c r="D137" s="3">
        <v>7.4</v>
      </c>
      <c r="E137" s="3">
        <v>6883.5</v>
      </c>
      <c r="F137" s="3">
        <v>930</v>
      </c>
      <c r="G137" s="3">
        <v>6.31</v>
      </c>
      <c r="H137" s="3">
        <f t="shared" si="22"/>
        <v>-1.0900000000000007</v>
      </c>
      <c r="I137" s="3">
        <v>5865.75</v>
      </c>
      <c r="J137" s="3" t="s">
        <v>1</v>
      </c>
      <c r="K137" s="3" t="s">
        <v>1</v>
      </c>
      <c r="L137" s="3" t="s">
        <v>1</v>
      </c>
      <c r="M137" s="4">
        <v>-1017.75</v>
      </c>
      <c r="N137" s="5">
        <v>0</v>
      </c>
      <c r="O137" t="str">
        <f t="shared" si="23"/>
        <v>BANKNIFTY</v>
      </c>
      <c r="P137" t="str">
        <f>IF(SEARCH("NIFTY",O137),RIGHT(A137,7),0)</f>
        <v>42600PE</v>
      </c>
      <c r="Q137">
        <f t="shared" si="24"/>
        <v>-1.0943548387096773</v>
      </c>
      <c r="S137">
        <v>-1.7054687500000001</v>
      </c>
    </row>
    <row r="138" spans="1:19" hidden="1" x14ac:dyDescent="0.3">
      <c r="A138" s="1" t="s">
        <v>137</v>
      </c>
      <c r="B138" s="2">
        <v>45105</v>
      </c>
      <c r="C138" s="3">
        <v>50000</v>
      </c>
      <c r="D138" s="3">
        <v>95.51</v>
      </c>
      <c r="E138" s="3">
        <v>4775500</v>
      </c>
      <c r="F138" s="3">
        <v>50000</v>
      </c>
      <c r="G138" s="3">
        <v>96.23</v>
      </c>
      <c r="H138" s="3">
        <f t="shared" si="22"/>
        <v>0.71999999999999886</v>
      </c>
      <c r="I138" s="3">
        <v>4811500</v>
      </c>
      <c r="J138" s="3" t="s">
        <v>1</v>
      </c>
      <c r="K138" s="3" t="s">
        <v>1</v>
      </c>
      <c r="L138" s="3" t="s">
        <v>1</v>
      </c>
      <c r="M138" s="5">
        <v>36000</v>
      </c>
      <c r="N138" s="5">
        <v>0</v>
      </c>
      <c r="O138" t="e">
        <f t="shared" si="23"/>
        <v>#VALUE!</v>
      </c>
      <c r="P138" t="e">
        <f>IF(SEARCH("NIFTY",O138),RIGHT(A138,7),0)</f>
        <v>#VALUE!</v>
      </c>
      <c r="S138">
        <v>-1.6916666666666667</v>
      </c>
    </row>
    <row r="139" spans="1:19" x14ac:dyDescent="0.3">
      <c r="A139" s="1" t="s">
        <v>138</v>
      </c>
      <c r="B139" s="2">
        <v>45092</v>
      </c>
      <c r="C139" s="3">
        <v>900</v>
      </c>
      <c r="D139" s="3">
        <v>124.38</v>
      </c>
      <c r="E139" s="3">
        <v>111940</v>
      </c>
      <c r="F139" s="3">
        <v>900</v>
      </c>
      <c r="G139" s="3">
        <v>129.27000000000001</v>
      </c>
      <c r="H139" s="3">
        <f t="shared" si="22"/>
        <v>4.8900000000000148</v>
      </c>
      <c r="I139" s="3">
        <v>116341.25</v>
      </c>
      <c r="J139" s="3" t="s">
        <v>1</v>
      </c>
      <c r="K139" s="3" t="s">
        <v>1</v>
      </c>
      <c r="L139" s="3" t="s">
        <v>1</v>
      </c>
      <c r="M139" s="5">
        <v>4401.25</v>
      </c>
      <c r="N139" s="5">
        <v>0</v>
      </c>
      <c r="O139" t="str">
        <f t="shared" si="23"/>
        <v>BANKNIFTY</v>
      </c>
      <c r="P139" t="str">
        <f>IF(SEARCH("NIFTY",O139),RIGHT(A139,7),0)</f>
        <v>44100CE</v>
      </c>
      <c r="Q139">
        <f t="shared" ref="Q139:Q142" si="25">M139/C139</f>
        <v>4.8902777777777775</v>
      </c>
      <c r="S139">
        <v>-1.671875</v>
      </c>
    </row>
    <row r="140" spans="1:19" x14ac:dyDescent="0.3">
      <c r="A140" s="1" t="s">
        <v>139</v>
      </c>
      <c r="B140" s="2">
        <v>45175</v>
      </c>
      <c r="C140" s="3">
        <v>450</v>
      </c>
      <c r="D140" s="3">
        <v>364.99</v>
      </c>
      <c r="E140" s="3">
        <v>164245.5</v>
      </c>
      <c r="F140" s="3">
        <v>450</v>
      </c>
      <c r="G140" s="3">
        <v>139.31</v>
      </c>
      <c r="H140" s="3">
        <f t="shared" si="22"/>
        <v>-225.68</v>
      </c>
      <c r="I140" s="3">
        <v>62689.5</v>
      </c>
      <c r="J140" s="3" t="s">
        <v>1</v>
      </c>
      <c r="K140" s="3" t="s">
        <v>1</v>
      </c>
      <c r="L140" s="3" t="s">
        <v>1</v>
      </c>
      <c r="M140" s="4">
        <v>-101556</v>
      </c>
      <c r="N140" s="5">
        <v>0</v>
      </c>
      <c r="O140" t="str">
        <f t="shared" si="23"/>
        <v>BANKNIFTY</v>
      </c>
      <c r="P140" t="str">
        <f>IF(SEARCH("NIFTY",O140),RIGHT(A140,7),0)</f>
        <v>44300CE</v>
      </c>
      <c r="Q140">
        <f t="shared" si="25"/>
        <v>-225.68</v>
      </c>
      <c r="S140">
        <v>-1.6428104575163398</v>
      </c>
    </row>
    <row r="141" spans="1:19" x14ac:dyDescent="0.3">
      <c r="A141" s="1" t="s">
        <v>140</v>
      </c>
      <c r="B141" s="2">
        <v>45175</v>
      </c>
      <c r="C141" s="3">
        <v>450</v>
      </c>
      <c r="D141" s="3">
        <v>88.69</v>
      </c>
      <c r="E141" s="3">
        <v>39908.25</v>
      </c>
      <c r="F141" s="3">
        <v>450</v>
      </c>
      <c r="G141" s="3">
        <v>324.64</v>
      </c>
      <c r="H141" s="3">
        <f t="shared" si="22"/>
        <v>235.95</v>
      </c>
      <c r="I141" s="3">
        <v>146087.25</v>
      </c>
      <c r="J141" s="3" t="s">
        <v>1</v>
      </c>
      <c r="K141" s="3" t="s">
        <v>1</v>
      </c>
      <c r="L141" s="3" t="s">
        <v>1</v>
      </c>
      <c r="M141" s="5">
        <v>106179</v>
      </c>
      <c r="N141" s="5">
        <v>0</v>
      </c>
      <c r="O141" t="str">
        <f t="shared" si="23"/>
        <v>BANKNIFTY</v>
      </c>
      <c r="P141" t="str">
        <f>IF(SEARCH("NIFTY",O141),RIGHT(A141,7),0)</f>
        <v>44200PE</v>
      </c>
      <c r="Q141">
        <f t="shared" si="25"/>
        <v>235.95333333333335</v>
      </c>
      <c r="S141">
        <v>-1.6274999999999999</v>
      </c>
    </row>
    <row r="142" spans="1:19" x14ac:dyDescent="0.3">
      <c r="A142" s="1" t="s">
        <v>141</v>
      </c>
      <c r="B142" s="2">
        <v>45078</v>
      </c>
      <c r="C142" s="3">
        <v>2150</v>
      </c>
      <c r="D142" s="3">
        <v>8.4700000000000006</v>
      </c>
      <c r="E142" s="3">
        <v>18220</v>
      </c>
      <c r="F142" s="3">
        <v>2150</v>
      </c>
      <c r="G142" s="3">
        <v>8.19</v>
      </c>
      <c r="H142" s="3">
        <f t="shared" si="22"/>
        <v>-0.28000000000000114</v>
      </c>
      <c r="I142" s="3">
        <v>17610</v>
      </c>
      <c r="J142" s="3" t="s">
        <v>1</v>
      </c>
      <c r="K142" s="3" t="s">
        <v>1</v>
      </c>
      <c r="L142" s="3" t="s">
        <v>1</v>
      </c>
      <c r="M142" s="4">
        <v>-610</v>
      </c>
      <c r="N142" s="5">
        <v>0</v>
      </c>
      <c r="O142" t="str">
        <f t="shared" si="23"/>
        <v>BANKNIFTY</v>
      </c>
      <c r="P142" t="str">
        <f>IF(SEARCH("NIFTY",O142),RIGHT(A142,7),0)</f>
        <v>42500PE</v>
      </c>
      <c r="Q142">
        <f t="shared" si="25"/>
        <v>-0.28372093023255812</v>
      </c>
      <c r="S142">
        <v>-1.6236842105263158</v>
      </c>
    </row>
    <row r="143" spans="1:19" hidden="1" x14ac:dyDescent="0.3">
      <c r="A143" s="1" t="s">
        <v>142</v>
      </c>
      <c r="B143" s="2">
        <v>45105</v>
      </c>
      <c r="C143" s="3">
        <v>45000</v>
      </c>
      <c r="D143" s="3">
        <v>4.67</v>
      </c>
      <c r="E143" s="3">
        <v>210000</v>
      </c>
      <c r="F143" s="3">
        <v>45000</v>
      </c>
      <c r="G143" s="3">
        <v>8.85</v>
      </c>
      <c r="H143" s="3">
        <f t="shared" si="22"/>
        <v>4.18</v>
      </c>
      <c r="I143" s="3">
        <v>398250</v>
      </c>
      <c r="J143" s="3" t="s">
        <v>1</v>
      </c>
      <c r="K143" s="3" t="s">
        <v>1</v>
      </c>
      <c r="L143" s="3" t="s">
        <v>1</v>
      </c>
      <c r="M143" s="5">
        <v>188250</v>
      </c>
      <c r="N143" s="5">
        <v>0</v>
      </c>
      <c r="O143" t="e">
        <f t="shared" si="23"/>
        <v>#VALUE!</v>
      </c>
      <c r="P143" t="e">
        <f>IF(SEARCH("NIFTY",O143),RIGHT(A143,7),0)</f>
        <v>#VALUE!</v>
      </c>
      <c r="S143">
        <v>-1.5991666666666666</v>
      </c>
    </row>
    <row r="144" spans="1:19" hidden="1" x14ac:dyDescent="0.3">
      <c r="A144" s="1" t="s">
        <v>143</v>
      </c>
      <c r="B144" s="2">
        <v>45076</v>
      </c>
      <c r="C144" s="3">
        <v>2000</v>
      </c>
      <c r="D144" s="3">
        <v>1.75</v>
      </c>
      <c r="E144" s="3">
        <v>3500</v>
      </c>
      <c r="F144" s="3">
        <v>2000</v>
      </c>
      <c r="G144" s="3">
        <v>0.9</v>
      </c>
      <c r="H144" s="3">
        <f t="shared" si="22"/>
        <v>-0.85</v>
      </c>
      <c r="I144" s="3">
        <v>1800</v>
      </c>
      <c r="J144" s="3" t="s">
        <v>1</v>
      </c>
      <c r="K144" s="3" t="s">
        <v>1</v>
      </c>
      <c r="L144" s="3" t="s">
        <v>1</v>
      </c>
      <c r="M144" s="4">
        <v>-1700</v>
      </c>
      <c r="N144" s="5">
        <v>0</v>
      </c>
      <c r="O144" t="str">
        <f t="shared" si="23"/>
        <v>FINNIFTY</v>
      </c>
      <c r="P144" t="str">
        <f>IF(SEARCH("NIFTY",O144),RIGHT(A144,7),0)</f>
        <v>19300PE</v>
      </c>
      <c r="S144">
        <v>-1.5982558139534884</v>
      </c>
    </row>
    <row r="145" spans="1:19" hidden="1" x14ac:dyDescent="0.3">
      <c r="A145" s="1" t="s">
        <v>144</v>
      </c>
      <c r="B145" s="2">
        <v>45141</v>
      </c>
      <c r="C145" s="3">
        <v>1000</v>
      </c>
      <c r="D145" s="3">
        <v>45.1</v>
      </c>
      <c r="E145" s="3">
        <v>45100</v>
      </c>
      <c r="F145" s="3">
        <v>1000</v>
      </c>
      <c r="G145" s="3">
        <v>41.44</v>
      </c>
      <c r="H145" s="3">
        <f t="shared" si="22"/>
        <v>-3.6600000000000037</v>
      </c>
      <c r="I145" s="3">
        <v>41442.5</v>
      </c>
      <c r="J145" s="3" t="s">
        <v>1</v>
      </c>
      <c r="K145" s="3" t="s">
        <v>1</v>
      </c>
      <c r="L145" s="3" t="s">
        <v>1</v>
      </c>
      <c r="M145" s="4">
        <v>-3657.5</v>
      </c>
      <c r="N145" s="5">
        <v>0</v>
      </c>
      <c r="O145" t="str">
        <f t="shared" si="23"/>
        <v>NIFTY</v>
      </c>
      <c r="P145" t="str">
        <f>IF(SEARCH("NIFTY",O145),RIGHT(A145,7),0)</f>
        <v>20000CE</v>
      </c>
      <c r="S145">
        <v>-1.5860000000000001</v>
      </c>
    </row>
    <row r="146" spans="1:19" x14ac:dyDescent="0.3">
      <c r="A146" s="1" t="s">
        <v>145</v>
      </c>
      <c r="B146" s="2">
        <v>45092</v>
      </c>
      <c r="C146" s="3">
        <v>1000</v>
      </c>
      <c r="D146" s="3">
        <v>27.8</v>
      </c>
      <c r="E146" s="3">
        <v>27801.25</v>
      </c>
      <c r="F146" s="3">
        <v>1000</v>
      </c>
      <c r="G146" s="3">
        <v>31.39</v>
      </c>
      <c r="H146" s="3">
        <f t="shared" si="22"/>
        <v>3.59</v>
      </c>
      <c r="I146" s="3">
        <v>31390</v>
      </c>
      <c r="J146" s="3" t="s">
        <v>1</v>
      </c>
      <c r="K146" s="3" t="s">
        <v>1</v>
      </c>
      <c r="L146" s="3" t="s">
        <v>1</v>
      </c>
      <c r="M146" s="5">
        <v>3588.75</v>
      </c>
      <c r="N146" s="5">
        <v>0</v>
      </c>
      <c r="O146" t="str">
        <f t="shared" si="23"/>
        <v>BANKNIFTY</v>
      </c>
      <c r="P146" t="str">
        <f>IF(SEARCH("NIFTY",O146),RIGHT(A146,7),0)</f>
        <v>43000PE</v>
      </c>
      <c r="Q146">
        <f t="shared" ref="Q146:Q149" si="26">M146/C146</f>
        <v>3.5887500000000001</v>
      </c>
      <c r="S146">
        <v>-1.5471153846153847</v>
      </c>
    </row>
    <row r="147" spans="1:19" x14ac:dyDescent="0.3">
      <c r="A147" s="1" t="s">
        <v>146</v>
      </c>
      <c r="B147" s="2">
        <v>45105</v>
      </c>
      <c r="C147" s="3">
        <v>750</v>
      </c>
      <c r="D147" s="3">
        <v>4.3499999999999996</v>
      </c>
      <c r="E147" s="3">
        <v>3262.5</v>
      </c>
      <c r="F147" s="3">
        <v>750</v>
      </c>
      <c r="G147" s="3">
        <v>3.95</v>
      </c>
      <c r="H147" s="3">
        <f t="shared" si="22"/>
        <v>-0.39999999999999947</v>
      </c>
      <c r="I147" s="3">
        <v>2962.5</v>
      </c>
      <c r="J147" s="3" t="s">
        <v>1</v>
      </c>
      <c r="K147" s="3" t="s">
        <v>1</v>
      </c>
      <c r="L147" s="3" t="s">
        <v>1</v>
      </c>
      <c r="M147" s="4">
        <v>-300</v>
      </c>
      <c r="N147" s="5">
        <v>0</v>
      </c>
      <c r="O147" t="str">
        <f t="shared" si="23"/>
        <v>BANKNIFTY</v>
      </c>
      <c r="P147" t="str">
        <f>IF(SEARCH("NIFTY",O147),RIGHT(A147,7),0)</f>
        <v>45000CE</v>
      </c>
      <c r="Q147">
        <f t="shared" si="26"/>
        <v>-0.4</v>
      </c>
      <c r="S147">
        <v>-1.5403508771929824</v>
      </c>
    </row>
    <row r="148" spans="1:19" x14ac:dyDescent="0.3">
      <c r="A148" s="1" t="s">
        <v>147</v>
      </c>
      <c r="B148" s="2">
        <v>45078</v>
      </c>
      <c r="C148" s="3">
        <v>600</v>
      </c>
      <c r="D148" s="3">
        <v>29.3</v>
      </c>
      <c r="E148" s="3">
        <v>17580</v>
      </c>
      <c r="F148" s="3">
        <v>600</v>
      </c>
      <c r="G148" s="3">
        <v>31.79</v>
      </c>
      <c r="H148" s="3">
        <f t="shared" si="22"/>
        <v>2.4899999999999984</v>
      </c>
      <c r="I148" s="3">
        <v>19076.25</v>
      </c>
      <c r="J148" s="3" t="s">
        <v>1</v>
      </c>
      <c r="K148" s="3" t="s">
        <v>1</v>
      </c>
      <c r="L148" s="3" t="s">
        <v>1</v>
      </c>
      <c r="M148" s="5">
        <v>1496.25</v>
      </c>
      <c r="N148" s="5">
        <v>0</v>
      </c>
      <c r="O148" t="str">
        <f t="shared" si="23"/>
        <v>BANKNIFTY</v>
      </c>
      <c r="P148" t="str">
        <f>IF(SEARCH("NIFTY",O148),RIGHT(A148,7),0)</f>
        <v>43300PE</v>
      </c>
      <c r="Q148">
        <f t="shared" si="26"/>
        <v>2.4937499999999999</v>
      </c>
      <c r="S148">
        <v>-1.5310240963855422</v>
      </c>
    </row>
    <row r="149" spans="1:19" x14ac:dyDescent="0.3">
      <c r="A149" s="1" t="s">
        <v>148</v>
      </c>
      <c r="B149" s="2">
        <v>45085</v>
      </c>
      <c r="C149" s="3">
        <v>600</v>
      </c>
      <c r="D149" s="3">
        <v>17.600000000000001</v>
      </c>
      <c r="E149" s="3">
        <v>10560</v>
      </c>
      <c r="F149" s="3">
        <v>600</v>
      </c>
      <c r="G149" s="3">
        <v>22.75</v>
      </c>
      <c r="H149" s="3">
        <f t="shared" si="22"/>
        <v>5.1499999999999986</v>
      </c>
      <c r="I149" s="3">
        <v>13651.25</v>
      </c>
      <c r="J149" s="3" t="s">
        <v>1</v>
      </c>
      <c r="K149" s="3" t="s">
        <v>1</v>
      </c>
      <c r="L149" s="3" t="s">
        <v>1</v>
      </c>
      <c r="M149" s="5">
        <v>3091.25</v>
      </c>
      <c r="N149" s="5">
        <v>0</v>
      </c>
      <c r="O149" t="str">
        <f t="shared" si="23"/>
        <v>BANKNIFTY</v>
      </c>
      <c r="P149" t="str">
        <f>IF(SEARCH("NIFTY",O149),RIGHT(A149,7),0)</f>
        <v>45100CE</v>
      </c>
      <c r="Q149">
        <f t="shared" si="26"/>
        <v>5.1520833333333336</v>
      </c>
      <c r="S149">
        <v>-1.5158088235294118</v>
      </c>
    </row>
    <row r="150" spans="1:19" hidden="1" x14ac:dyDescent="0.3">
      <c r="A150" s="1" t="s">
        <v>149</v>
      </c>
      <c r="B150" s="2">
        <v>45050</v>
      </c>
      <c r="C150" s="3">
        <v>13000</v>
      </c>
      <c r="D150" s="3">
        <v>8.7100000000000009</v>
      </c>
      <c r="E150" s="3">
        <v>113205</v>
      </c>
      <c r="F150" s="3">
        <v>13000</v>
      </c>
      <c r="G150" s="3">
        <v>9.59</v>
      </c>
      <c r="H150" s="3">
        <f t="shared" si="22"/>
        <v>0.87999999999999901</v>
      </c>
      <c r="I150" s="3">
        <v>124647.5</v>
      </c>
      <c r="J150" s="3" t="s">
        <v>1</v>
      </c>
      <c r="K150" s="3" t="s">
        <v>1</v>
      </c>
      <c r="L150" s="3" t="s">
        <v>1</v>
      </c>
      <c r="M150" s="5">
        <v>11442.5</v>
      </c>
      <c r="N150" s="5">
        <v>0</v>
      </c>
      <c r="O150" t="str">
        <f t="shared" si="23"/>
        <v>NIFTY</v>
      </c>
      <c r="P150" t="str">
        <f>IF(SEARCH("NIFTY",O150),RIGHT(A150,7),0)</f>
        <v>18050PE</v>
      </c>
      <c r="S150">
        <v>-1.4990384615384615</v>
      </c>
    </row>
    <row r="151" spans="1:19" x14ac:dyDescent="0.3">
      <c r="A151" s="1" t="s">
        <v>150</v>
      </c>
      <c r="B151" s="2">
        <v>45036</v>
      </c>
      <c r="C151" s="3">
        <v>500</v>
      </c>
      <c r="D151" s="3">
        <v>4.8499999999999996</v>
      </c>
      <c r="E151" s="3">
        <v>2425</v>
      </c>
      <c r="F151" s="3">
        <v>500</v>
      </c>
      <c r="G151" s="3">
        <v>2.25</v>
      </c>
      <c r="H151" s="3">
        <f t="shared" si="22"/>
        <v>-2.5999999999999996</v>
      </c>
      <c r="I151" s="3">
        <v>1125</v>
      </c>
      <c r="J151" s="3" t="s">
        <v>1</v>
      </c>
      <c r="K151" s="3" t="s">
        <v>1</v>
      </c>
      <c r="L151" s="3" t="s">
        <v>1</v>
      </c>
      <c r="M151" s="4">
        <v>-1300</v>
      </c>
      <c r="N151" s="5">
        <v>0</v>
      </c>
      <c r="O151" t="str">
        <f t="shared" si="23"/>
        <v>BANKNIFTY</v>
      </c>
      <c r="P151" t="str">
        <f>IF(SEARCH("NIFTY",O151),RIGHT(A151,7),0)</f>
        <v>40800PE</v>
      </c>
      <c r="Q151">
        <f>M151/C151</f>
        <v>-2.6</v>
      </c>
      <c r="S151">
        <v>-1.48</v>
      </c>
    </row>
    <row r="152" spans="1:19" hidden="1" x14ac:dyDescent="0.3">
      <c r="A152" s="1" t="s">
        <v>151</v>
      </c>
      <c r="B152" s="2">
        <v>45057</v>
      </c>
      <c r="C152" s="3">
        <v>4500</v>
      </c>
      <c r="D152" s="3">
        <v>1.27</v>
      </c>
      <c r="E152" s="3">
        <v>5700</v>
      </c>
      <c r="F152" s="3">
        <v>4500</v>
      </c>
      <c r="G152" s="3">
        <v>1.1299999999999999</v>
      </c>
      <c r="H152" s="3">
        <f t="shared" si="22"/>
        <v>-0.14000000000000012</v>
      </c>
      <c r="I152" s="3">
        <v>5070</v>
      </c>
      <c r="J152" s="3" t="s">
        <v>1</v>
      </c>
      <c r="K152" s="3" t="s">
        <v>1</v>
      </c>
      <c r="L152" s="3" t="s">
        <v>1</v>
      </c>
      <c r="M152" s="4">
        <v>-630</v>
      </c>
      <c r="N152" s="5">
        <v>0</v>
      </c>
      <c r="O152" t="str">
        <f t="shared" si="23"/>
        <v>NIFTY</v>
      </c>
      <c r="P152" t="str">
        <f>IF(SEARCH("NIFTY",O152),RIGHT(A152,7),0)</f>
        <v>18600CE</v>
      </c>
      <c r="S152">
        <v>-1.4130597014925372</v>
      </c>
    </row>
    <row r="153" spans="1:19" x14ac:dyDescent="0.3">
      <c r="A153" s="1" t="s">
        <v>152</v>
      </c>
      <c r="B153" s="2">
        <v>45064</v>
      </c>
      <c r="C153" s="3">
        <v>1400</v>
      </c>
      <c r="D153" s="3">
        <v>46.98</v>
      </c>
      <c r="E153" s="3">
        <v>65766.25</v>
      </c>
      <c r="F153" s="3">
        <v>1400</v>
      </c>
      <c r="G153" s="3">
        <v>50.53</v>
      </c>
      <c r="H153" s="3">
        <f t="shared" si="22"/>
        <v>3.5500000000000043</v>
      </c>
      <c r="I153" s="3">
        <v>70747.5</v>
      </c>
      <c r="J153" s="3" t="s">
        <v>1</v>
      </c>
      <c r="K153" s="3" t="s">
        <v>1</v>
      </c>
      <c r="L153" s="3" t="s">
        <v>1</v>
      </c>
      <c r="M153" s="5">
        <v>4981.25</v>
      </c>
      <c r="N153" s="5">
        <v>0</v>
      </c>
      <c r="O153" t="str">
        <f t="shared" si="23"/>
        <v>BANKNIFTY</v>
      </c>
      <c r="P153" t="str">
        <f>IF(SEARCH("NIFTY",O153),RIGHT(A153,7),0)</f>
        <v>43100PE</v>
      </c>
      <c r="Q153">
        <f t="shared" ref="Q153:Q154" si="27">M153/C153</f>
        <v>3.5580357142857144</v>
      </c>
      <c r="S153">
        <v>-1.33125</v>
      </c>
    </row>
    <row r="154" spans="1:19" x14ac:dyDescent="0.3">
      <c r="A154" s="1" t="s">
        <v>153</v>
      </c>
      <c r="B154" s="2">
        <v>45120</v>
      </c>
      <c r="C154" s="3">
        <v>300</v>
      </c>
      <c r="D154" s="3">
        <v>215</v>
      </c>
      <c r="E154" s="3">
        <v>64500</v>
      </c>
      <c r="F154" s="3">
        <v>300</v>
      </c>
      <c r="G154" s="3">
        <v>220.43</v>
      </c>
      <c r="H154" s="3">
        <f t="shared" si="22"/>
        <v>5.4300000000000068</v>
      </c>
      <c r="I154" s="3">
        <v>66130</v>
      </c>
      <c r="J154" s="3" t="s">
        <v>1</v>
      </c>
      <c r="K154" s="3" t="s">
        <v>1</v>
      </c>
      <c r="L154" s="3" t="s">
        <v>1</v>
      </c>
      <c r="M154" s="5">
        <v>1630</v>
      </c>
      <c r="N154" s="5">
        <v>0</v>
      </c>
      <c r="O154" t="str">
        <f t="shared" si="23"/>
        <v>BANKNIFTY</v>
      </c>
      <c r="P154" t="str">
        <f>IF(SEARCH("NIFTY",O154),RIGHT(A154,7),0)</f>
        <v>45000CE</v>
      </c>
      <c r="Q154">
        <f t="shared" si="27"/>
        <v>5.4333333333333336</v>
      </c>
      <c r="S154">
        <v>-1.3083333333333333</v>
      </c>
    </row>
    <row r="155" spans="1:19" hidden="1" x14ac:dyDescent="0.3">
      <c r="A155" s="1" t="s">
        <v>154</v>
      </c>
      <c r="B155" s="2">
        <v>45141</v>
      </c>
      <c r="C155" s="3">
        <v>1000</v>
      </c>
      <c r="D155" s="3">
        <v>91.04</v>
      </c>
      <c r="E155" s="3">
        <v>91040</v>
      </c>
      <c r="F155" s="3">
        <v>1000</v>
      </c>
      <c r="G155" s="3">
        <v>61.25</v>
      </c>
      <c r="H155" s="3">
        <f t="shared" si="22"/>
        <v>-29.790000000000006</v>
      </c>
      <c r="I155" s="3">
        <v>61250</v>
      </c>
      <c r="J155" s="3" t="s">
        <v>1</v>
      </c>
      <c r="K155" s="3" t="s">
        <v>1</v>
      </c>
      <c r="L155" s="3" t="s">
        <v>1</v>
      </c>
      <c r="M155" s="4">
        <v>-29790</v>
      </c>
      <c r="N155" s="5">
        <v>0</v>
      </c>
      <c r="O155" t="str">
        <f t="shared" si="23"/>
        <v>NIFTY</v>
      </c>
      <c r="P155" t="str">
        <f>IF(SEARCH("NIFTY",O155),RIGHT(A155,7),0)</f>
        <v>19700CE</v>
      </c>
      <c r="S155">
        <v>-1.3</v>
      </c>
    </row>
    <row r="156" spans="1:19" hidden="1" x14ac:dyDescent="0.3">
      <c r="A156" s="1" t="s">
        <v>155</v>
      </c>
      <c r="B156" s="2">
        <v>45152</v>
      </c>
      <c r="C156" s="3">
        <v>400</v>
      </c>
      <c r="D156" s="3">
        <v>36.18</v>
      </c>
      <c r="E156" s="3">
        <v>14470</v>
      </c>
      <c r="F156" s="3">
        <v>400</v>
      </c>
      <c r="G156" s="3">
        <v>35.049999999999997</v>
      </c>
      <c r="H156" s="3">
        <f t="shared" si="22"/>
        <v>-1.1300000000000026</v>
      </c>
      <c r="I156" s="3">
        <v>14020</v>
      </c>
      <c r="J156" s="3" t="s">
        <v>1</v>
      </c>
      <c r="K156" s="3" t="s">
        <v>1</v>
      </c>
      <c r="L156" s="3" t="s">
        <v>1</v>
      </c>
      <c r="M156" s="4">
        <v>-450</v>
      </c>
      <c r="N156" s="5">
        <v>0</v>
      </c>
      <c r="O156" t="str">
        <f t="shared" si="23"/>
        <v>FINNIFTY</v>
      </c>
      <c r="P156" t="str">
        <f>IF(SEARCH("NIFTY",O156),RIGHT(A156,7),0)</f>
        <v>19600PE</v>
      </c>
      <c r="S156">
        <v>-1.3</v>
      </c>
    </row>
    <row r="157" spans="1:19" hidden="1" x14ac:dyDescent="0.3">
      <c r="A157" s="1" t="s">
        <v>156</v>
      </c>
      <c r="B157" s="2">
        <v>45125</v>
      </c>
      <c r="C157" s="3">
        <v>600</v>
      </c>
      <c r="D157" s="3">
        <v>14.35</v>
      </c>
      <c r="E157" s="3">
        <v>8610</v>
      </c>
      <c r="F157" s="3">
        <v>600</v>
      </c>
      <c r="G157" s="3">
        <v>18.399999999999999</v>
      </c>
      <c r="H157" s="3">
        <f t="shared" si="22"/>
        <v>4.0499999999999989</v>
      </c>
      <c r="I157" s="3">
        <v>11040</v>
      </c>
      <c r="J157" s="3" t="s">
        <v>1</v>
      </c>
      <c r="K157" s="3" t="s">
        <v>1</v>
      </c>
      <c r="L157" s="3" t="s">
        <v>1</v>
      </c>
      <c r="M157" s="5">
        <v>2430</v>
      </c>
      <c r="N157" s="5">
        <v>0</v>
      </c>
      <c r="O157" t="str">
        <f t="shared" si="23"/>
        <v>FINNIFTY</v>
      </c>
      <c r="P157" t="str">
        <f>IF(SEARCH("NIFTY",O157),RIGHT(A157,7),0)</f>
        <v>19900PE</v>
      </c>
      <c r="S157">
        <v>-1.27</v>
      </c>
    </row>
    <row r="158" spans="1:19" x14ac:dyDescent="0.3">
      <c r="A158" s="1" t="s">
        <v>157</v>
      </c>
      <c r="B158" s="2">
        <v>45134</v>
      </c>
      <c r="C158" s="3">
        <v>525</v>
      </c>
      <c r="D158" s="3">
        <v>67.53</v>
      </c>
      <c r="E158" s="3">
        <v>35452.5</v>
      </c>
      <c r="F158" s="3">
        <v>525</v>
      </c>
      <c r="G158" s="3">
        <v>51.92</v>
      </c>
      <c r="H158" s="3">
        <f t="shared" si="22"/>
        <v>-15.61</v>
      </c>
      <c r="I158" s="3">
        <v>27258</v>
      </c>
      <c r="J158" s="3" t="s">
        <v>1</v>
      </c>
      <c r="K158" s="3" t="s">
        <v>1</v>
      </c>
      <c r="L158" s="3" t="s">
        <v>1</v>
      </c>
      <c r="M158" s="4">
        <v>-8194.5</v>
      </c>
      <c r="N158" s="5">
        <v>0</v>
      </c>
      <c r="O158" t="str">
        <f t="shared" si="23"/>
        <v>BANKNIFTY</v>
      </c>
      <c r="P158" t="str">
        <f>IF(SEARCH("NIFTY",O158),RIGHT(A158,7),0)</f>
        <v>46300CE</v>
      </c>
      <c r="Q158">
        <f>M158/C158</f>
        <v>-15.608571428571429</v>
      </c>
      <c r="S158">
        <v>-1.2392857142857143</v>
      </c>
    </row>
    <row r="159" spans="1:19" hidden="1" x14ac:dyDescent="0.3">
      <c r="A159" s="1" t="s">
        <v>158</v>
      </c>
      <c r="B159" s="2">
        <v>45139</v>
      </c>
      <c r="C159" s="3">
        <v>200</v>
      </c>
      <c r="D159" s="3">
        <v>13.35</v>
      </c>
      <c r="E159" s="3">
        <v>2670</v>
      </c>
      <c r="F159" s="3">
        <v>200</v>
      </c>
      <c r="G159" s="3">
        <v>30.5</v>
      </c>
      <c r="H159" s="3">
        <f t="shared" si="22"/>
        <v>17.149999999999999</v>
      </c>
      <c r="I159" s="3">
        <v>6100</v>
      </c>
      <c r="J159" s="3" t="s">
        <v>1</v>
      </c>
      <c r="K159" s="3" t="s">
        <v>1</v>
      </c>
      <c r="L159" s="3" t="s">
        <v>1</v>
      </c>
      <c r="M159" s="5">
        <v>3430</v>
      </c>
      <c r="N159" s="5">
        <v>0</v>
      </c>
      <c r="O159" t="str">
        <f t="shared" si="23"/>
        <v>FINNIFTY</v>
      </c>
      <c r="P159" t="str">
        <f>IF(SEARCH("NIFTY",O159),RIGHT(A159,7),0)</f>
        <v>20100PE</v>
      </c>
      <c r="S159">
        <v>-1.2046874999999999</v>
      </c>
    </row>
    <row r="160" spans="1:19" x14ac:dyDescent="0.3">
      <c r="A160" s="1" t="s">
        <v>159</v>
      </c>
      <c r="B160" s="2">
        <v>45036</v>
      </c>
      <c r="C160" s="3">
        <v>1700</v>
      </c>
      <c r="D160" s="3">
        <v>2.21</v>
      </c>
      <c r="E160" s="3">
        <v>3757.5</v>
      </c>
      <c r="F160" s="3">
        <v>1700</v>
      </c>
      <c r="G160" s="3">
        <v>6.25</v>
      </c>
      <c r="H160" s="3">
        <f t="shared" si="22"/>
        <v>4.04</v>
      </c>
      <c r="I160" s="3">
        <v>10630</v>
      </c>
      <c r="J160" s="3" t="s">
        <v>1</v>
      </c>
      <c r="K160" s="3" t="s">
        <v>1</v>
      </c>
      <c r="L160" s="3" t="s">
        <v>1</v>
      </c>
      <c r="M160" s="5">
        <v>6872.5</v>
      </c>
      <c r="N160" s="5">
        <v>0</v>
      </c>
      <c r="O160" t="str">
        <f t="shared" si="23"/>
        <v>BANKNIFTY</v>
      </c>
      <c r="P160" t="str">
        <f>IF(SEARCH("NIFTY",O160),RIGHT(A160,7),0)</f>
        <v>42300CE</v>
      </c>
      <c r="Q160">
        <f t="shared" ref="Q160:Q161" si="28">M160/C160</f>
        <v>4.0426470588235297</v>
      </c>
      <c r="S160">
        <v>-1.1927083333333333</v>
      </c>
    </row>
    <row r="161" spans="1:19" x14ac:dyDescent="0.3">
      <c r="A161" s="1" t="s">
        <v>160</v>
      </c>
      <c r="B161" s="2">
        <v>45113</v>
      </c>
      <c r="C161" s="3">
        <v>3500</v>
      </c>
      <c r="D161" s="3">
        <v>104.89</v>
      </c>
      <c r="E161" s="3">
        <v>367107.5</v>
      </c>
      <c r="F161" s="3">
        <v>3500</v>
      </c>
      <c r="G161" s="3">
        <v>122.49</v>
      </c>
      <c r="H161" s="3">
        <f t="shared" si="22"/>
        <v>17.599999999999994</v>
      </c>
      <c r="I161" s="3">
        <v>428707.5</v>
      </c>
      <c r="J161" s="3" t="s">
        <v>1</v>
      </c>
      <c r="K161" s="3" t="s">
        <v>1</v>
      </c>
      <c r="L161" s="3" t="s">
        <v>1</v>
      </c>
      <c r="M161" s="5">
        <v>61600</v>
      </c>
      <c r="N161" s="5">
        <v>0</v>
      </c>
      <c r="O161" t="str">
        <f t="shared" si="23"/>
        <v>BANKNIFTY</v>
      </c>
      <c r="P161" t="str">
        <f>IF(SEARCH("NIFTY",O161),RIGHT(A161,7),0)</f>
        <v>45300CE</v>
      </c>
      <c r="Q161">
        <f t="shared" si="28"/>
        <v>17.600000000000001</v>
      </c>
      <c r="S161">
        <v>-1.1633928571428571</v>
      </c>
    </row>
    <row r="162" spans="1:19" hidden="1" x14ac:dyDescent="0.3">
      <c r="A162" s="1" t="s">
        <v>161</v>
      </c>
      <c r="B162" s="2">
        <v>45162</v>
      </c>
      <c r="C162" s="3">
        <v>2250</v>
      </c>
      <c r="D162" s="3">
        <v>0.45</v>
      </c>
      <c r="E162" s="3">
        <v>1012.5</v>
      </c>
      <c r="F162" s="3">
        <v>2250</v>
      </c>
      <c r="G162" s="3">
        <v>0.15</v>
      </c>
      <c r="H162" s="3">
        <f t="shared" si="22"/>
        <v>-0.30000000000000004</v>
      </c>
      <c r="I162" s="3">
        <v>337.5</v>
      </c>
      <c r="J162" s="3" t="s">
        <v>1</v>
      </c>
      <c r="K162" s="3" t="s">
        <v>1</v>
      </c>
      <c r="L162" s="3" t="s">
        <v>1</v>
      </c>
      <c r="M162" s="4">
        <v>-675</v>
      </c>
      <c r="N162" s="5">
        <v>0</v>
      </c>
      <c r="O162" t="str">
        <f t="shared" si="23"/>
        <v>NIFTY</v>
      </c>
      <c r="P162" t="str">
        <f>IF(SEARCH("NIFTY",O162),RIGHT(A162,7),0)</f>
        <v>19200PE</v>
      </c>
      <c r="S162">
        <v>-1.1526315789473685</v>
      </c>
    </row>
    <row r="163" spans="1:19" hidden="1" x14ac:dyDescent="0.3">
      <c r="A163" s="1" t="s">
        <v>162</v>
      </c>
      <c r="B163" s="2">
        <v>45092</v>
      </c>
      <c r="C163" s="3">
        <v>9500</v>
      </c>
      <c r="D163" s="3">
        <v>17.34</v>
      </c>
      <c r="E163" s="3">
        <v>164692.5</v>
      </c>
      <c r="F163" s="3">
        <v>9500</v>
      </c>
      <c r="G163" s="3">
        <v>15.47</v>
      </c>
      <c r="H163" s="3">
        <f t="shared" si="22"/>
        <v>-1.8699999999999992</v>
      </c>
      <c r="I163" s="3">
        <v>146960</v>
      </c>
      <c r="J163" s="3" t="s">
        <v>1</v>
      </c>
      <c r="K163" s="3" t="s">
        <v>1</v>
      </c>
      <c r="L163" s="3" t="s">
        <v>1</v>
      </c>
      <c r="M163" s="4">
        <v>-17732.5</v>
      </c>
      <c r="N163" s="5">
        <v>0</v>
      </c>
      <c r="O163" t="str">
        <f t="shared" si="23"/>
        <v>NIFTY</v>
      </c>
      <c r="P163" t="str">
        <f>IF(SEARCH("NIFTY",O163),RIGHT(A163,7),0)</f>
        <v>18700PE</v>
      </c>
      <c r="S163">
        <v>-1.1499999999999999</v>
      </c>
    </row>
    <row r="164" spans="1:19" x14ac:dyDescent="0.3">
      <c r="A164" s="1" t="s">
        <v>163</v>
      </c>
      <c r="B164" s="2">
        <v>45134</v>
      </c>
      <c r="C164" s="3">
        <v>390</v>
      </c>
      <c r="D164" s="3">
        <v>17.149999999999999</v>
      </c>
      <c r="E164" s="3">
        <v>6688.5</v>
      </c>
      <c r="F164" s="3">
        <v>390</v>
      </c>
      <c r="G164" s="3">
        <v>15.3</v>
      </c>
      <c r="H164" s="3">
        <f t="shared" si="22"/>
        <v>-1.8499999999999979</v>
      </c>
      <c r="I164" s="3">
        <v>5967</v>
      </c>
      <c r="J164" s="3" t="s">
        <v>1</v>
      </c>
      <c r="K164" s="3" t="s">
        <v>1</v>
      </c>
      <c r="L164" s="3" t="s">
        <v>1</v>
      </c>
      <c r="M164" s="4">
        <v>-721.5</v>
      </c>
      <c r="N164" s="5">
        <v>0</v>
      </c>
      <c r="O164" t="str">
        <f t="shared" si="23"/>
        <v>BANKNIFTY</v>
      </c>
      <c r="P164" t="str">
        <f>IF(SEARCH("NIFTY",O164),RIGHT(A164,7),0)</f>
        <v>47100CE</v>
      </c>
      <c r="Q164">
        <f>M164/C164</f>
        <v>-1.85</v>
      </c>
      <c r="S164">
        <v>-1.1000000000000001</v>
      </c>
    </row>
    <row r="165" spans="1:19" hidden="1" x14ac:dyDescent="0.3">
      <c r="A165" s="1" t="s">
        <v>164</v>
      </c>
      <c r="B165" s="2">
        <v>45048</v>
      </c>
      <c r="C165" s="3">
        <v>4000</v>
      </c>
      <c r="D165" s="3">
        <v>0.59</v>
      </c>
      <c r="E165" s="3">
        <v>2350</v>
      </c>
      <c r="F165" s="3">
        <v>4000</v>
      </c>
      <c r="G165" s="3">
        <v>0.26</v>
      </c>
      <c r="H165" s="3">
        <f t="shared" si="22"/>
        <v>-0.32999999999999996</v>
      </c>
      <c r="I165" s="3">
        <v>1050</v>
      </c>
      <c r="J165" s="3" t="s">
        <v>1</v>
      </c>
      <c r="K165" s="3" t="s">
        <v>1</v>
      </c>
      <c r="L165" s="3" t="s">
        <v>1</v>
      </c>
      <c r="M165" s="4">
        <v>-1300</v>
      </c>
      <c r="N165" s="5">
        <v>0</v>
      </c>
      <c r="O165" t="str">
        <f t="shared" si="23"/>
        <v>FINNIFTY</v>
      </c>
      <c r="P165" t="str">
        <f>IF(SEARCH("NIFTY",O165),RIGHT(A165,7),0)</f>
        <v>19350CE</v>
      </c>
      <c r="S165">
        <v>-1.0943548387096773</v>
      </c>
    </row>
    <row r="166" spans="1:19" x14ac:dyDescent="0.3">
      <c r="A166" s="1" t="s">
        <v>165</v>
      </c>
      <c r="B166" s="2">
        <v>45085</v>
      </c>
      <c r="C166" s="3">
        <v>700</v>
      </c>
      <c r="D166" s="3">
        <v>3.45</v>
      </c>
      <c r="E166" s="3">
        <v>2415</v>
      </c>
      <c r="F166" s="3">
        <v>700</v>
      </c>
      <c r="G166" s="3">
        <v>2.6</v>
      </c>
      <c r="H166" s="3">
        <f t="shared" si="22"/>
        <v>-0.85000000000000009</v>
      </c>
      <c r="I166" s="3">
        <v>1820</v>
      </c>
      <c r="J166" s="3" t="s">
        <v>1</v>
      </c>
      <c r="K166" s="3" t="s">
        <v>1</v>
      </c>
      <c r="L166" s="3" t="s">
        <v>1</v>
      </c>
      <c r="M166" s="4">
        <v>-595</v>
      </c>
      <c r="N166" s="5">
        <v>0</v>
      </c>
      <c r="O166" t="str">
        <f t="shared" si="23"/>
        <v>BANKNIFTY</v>
      </c>
      <c r="P166" t="str">
        <f>IF(SEARCH("NIFTY",O166),RIGHT(A166,7),0)</f>
        <v>45300CE</v>
      </c>
      <c r="Q166">
        <f>M166/C166</f>
        <v>-0.85</v>
      </c>
      <c r="S166">
        <v>-1.0527777777777778</v>
      </c>
    </row>
    <row r="167" spans="1:19" hidden="1" x14ac:dyDescent="0.3">
      <c r="A167" s="1" t="s">
        <v>166</v>
      </c>
      <c r="B167" s="2">
        <v>45169</v>
      </c>
      <c r="C167" s="3">
        <v>465000</v>
      </c>
      <c r="D167" s="3">
        <v>2.95</v>
      </c>
      <c r="E167" s="3">
        <v>1374000</v>
      </c>
      <c r="F167" s="3">
        <v>465000</v>
      </c>
      <c r="G167" s="3">
        <v>1.69</v>
      </c>
      <c r="H167" s="3">
        <f t="shared" si="22"/>
        <v>-1.2600000000000002</v>
      </c>
      <c r="I167" s="3">
        <v>786750</v>
      </c>
      <c r="J167" s="3" t="s">
        <v>1</v>
      </c>
      <c r="K167" s="3" t="s">
        <v>1</v>
      </c>
      <c r="L167" s="3" t="s">
        <v>1</v>
      </c>
      <c r="M167" s="4">
        <v>-587250</v>
      </c>
      <c r="N167" s="5">
        <v>0</v>
      </c>
      <c r="O167" t="e">
        <f t="shared" si="23"/>
        <v>#VALUE!</v>
      </c>
      <c r="P167" t="e">
        <f>IF(SEARCH("NIFTY",O167),RIGHT(A167,7),0)</f>
        <v>#VALUE!</v>
      </c>
      <c r="S167">
        <v>-1.05</v>
      </c>
    </row>
    <row r="168" spans="1:19" x14ac:dyDescent="0.3">
      <c r="A168" s="1" t="s">
        <v>167</v>
      </c>
      <c r="B168" s="2">
        <v>45120</v>
      </c>
      <c r="C168" s="3">
        <v>900</v>
      </c>
      <c r="D168" s="3">
        <v>71.069999999999993</v>
      </c>
      <c r="E168" s="3">
        <v>63966.25</v>
      </c>
      <c r="F168" s="3">
        <v>900</v>
      </c>
      <c r="G168" s="3">
        <v>56.8</v>
      </c>
      <c r="H168" s="3">
        <f t="shared" si="22"/>
        <v>-14.269999999999996</v>
      </c>
      <c r="I168" s="3">
        <v>51120</v>
      </c>
      <c r="J168" s="3" t="s">
        <v>1</v>
      </c>
      <c r="K168" s="3" t="s">
        <v>1</v>
      </c>
      <c r="L168" s="3" t="s">
        <v>1</v>
      </c>
      <c r="M168" s="4">
        <v>-12846.25</v>
      </c>
      <c r="N168" s="5">
        <v>0</v>
      </c>
      <c r="O168" t="str">
        <f t="shared" si="23"/>
        <v>BANKNIFTY</v>
      </c>
      <c r="P168" t="str">
        <f>IF(SEARCH("NIFTY",O168),RIGHT(A168,7),0)</f>
        <v>45900CE</v>
      </c>
      <c r="Q168">
        <f t="shared" ref="Q168:Q170" si="29">M168/C168</f>
        <v>-14.27361111111111</v>
      </c>
      <c r="S168">
        <v>-1.05</v>
      </c>
    </row>
    <row r="169" spans="1:19" x14ac:dyDescent="0.3">
      <c r="A169" s="1" t="s">
        <v>168</v>
      </c>
      <c r="B169" s="2">
        <v>45099</v>
      </c>
      <c r="C169" s="3">
        <v>500</v>
      </c>
      <c r="D169" s="3">
        <v>4.95</v>
      </c>
      <c r="E169" s="3">
        <v>2475</v>
      </c>
      <c r="F169" s="3">
        <v>500</v>
      </c>
      <c r="G169" s="3">
        <v>3.95</v>
      </c>
      <c r="H169" s="3">
        <f t="shared" si="22"/>
        <v>-1</v>
      </c>
      <c r="I169" s="3">
        <v>1975</v>
      </c>
      <c r="J169" s="3" t="s">
        <v>1</v>
      </c>
      <c r="K169" s="3" t="s">
        <v>1</v>
      </c>
      <c r="L169" s="3" t="s">
        <v>1</v>
      </c>
      <c r="M169" s="4">
        <v>-500</v>
      </c>
      <c r="N169" s="5">
        <v>0</v>
      </c>
      <c r="O169" t="str">
        <f t="shared" si="23"/>
        <v>BANKNIFTY</v>
      </c>
      <c r="P169" t="str">
        <f>IF(SEARCH("NIFTY",O169),RIGHT(A169,7),0)</f>
        <v>42000PE</v>
      </c>
      <c r="Q169">
        <f t="shared" si="29"/>
        <v>-1</v>
      </c>
      <c r="S169">
        <v>-1.0442307692307693</v>
      </c>
    </row>
    <row r="170" spans="1:19" x14ac:dyDescent="0.3">
      <c r="A170" s="1" t="s">
        <v>169</v>
      </c>
      <c r="B170" s="2">
        <v>45078</v>
      </c>
      <c r="C170" s="3">
        <v>1100</v>
      </c>
      <c r="D170" s="3">
        <v>18.82</v>
      </c>
      <c r="E170" s="3">
        <v>20706.25</v>
      </c>
      <c r="F170" s="3">
        <v>1100</v>
      </c>
      <c r="G170" s="3">
        <v>14.93</v>
      </c>
      <c r="H170" s="3">
        <f t="shared" si="22"/>
        <v>-3.8900000000000006</v>
      </c>
      <c r="I170" s="3">
        <v>16426.25</v>
      </c>
      <c r="J170" s="3" t="s">
        <v>1</v>
      </c>
      <c r="K170" s="3" t="s">
        <v>1</v>
      </c>
      <c r="L170" s="3" t="s">
        <v>1</v>
      </c>
      <c r="M170" s="4">
        <v>-4280</v>
      </c>
      <c r="N170" s="5">
        <v>0</v>
      </c>
      <c r="O170" t="str">
        <f t="shared" si="23"/>
        <v>BANKNIFTY</v>
      </c>
      <c r="P170" t="str">
        <f>IF(SEARCH("NIFTY",O170),RIGHT(A170,7),0)</f>
        <v>45200CE</v>
      </c>
      <c r="Q170">
        <f t="shared" si="29"/>
        <v>-3.8909090909090911</v>
      </c>
      <c r="S170">
        <v>-1.0125</v>
      </c>
    </row>
    <row r="171" spans="1:19" hidden="1" x14ac:dyDescent="0.3">
      <c r="A171" s="1" t="s">
        <v>170</v>
      </c>
      <c r="B171" s="2">
        <v>45057</v>
      </c>
      <c r="C171" s="3">
        <v>17850</v>
      </c>
      <c r="D171" s="3">
        <v>28.86</v>
      </c>
      <c r="E171" s="3">
        <v>515095</v>
      </c>
      <c r="F171" s="3">
        <v>17850</v>
      </c>
      <c r="G171" s="3">
        <v>27.6</v>
      </c>
      <c r="H171" s="3">
        <f t="shared" si="22"/>
        <v>-1.259999999999998</v>
      </c>
      <c r="I171" s="3">
        <v>492722.5</v>
      </c>
      <c r="J171" s="3" t="s">
        <v>1</v>
      </c>
      <c r="K171" s="3" t="s">
        <v>1</v>
      </c>
      <c r="L171" s="3" t="s">
        <v>1</v>
      </c>
      <c r="M171" s="4">
        <v>-22372.5</v>
      </c>
      <c r="N171" s="5">
        <v>0</v>
      </c>
      <c r="O171" t="str">
        <f t="shared" si="23"/>
        <v>NIFTY</v>
      </c>
      <c r="P171" t="str">
        <f>IF(SEARCH("NIFTY",O171),RIGHT(A171,7),0)</f>
        <v>18350CE</v>
      </c>
      <c r="S171">
        <v>-1</v>
      </c>
    </row>
    <row r="172" spans="1:19" x14ac:dyDescent="0.3">
      <c r="A172" s="1" t="s">
        <v>171</v>
      </c>
      <c r="B172" s="2">
        <v>45085</v>
      </c>
      <c r="C172" s="3">
        <v>4600</v>
      </c>
      <c r="D172" s="3">
        <v>26.26</v>
      </c>
      <c r="E172" s="3">
        <v>120786.25</v>
      </c>
      <c r="F172" s="3">
        <v>4600</v>
      </c>
      <c r="G172" s="3">
        <v>26.07</v>
      </c>
      <c r="H172" s="3">
        <f t="shared" si="22"/>
        <v>-0.19000000000000128</v>
      </c>
      <c r="I172" s="3">
        <v>119920</v>
      </c>
      <c r="J172" s="3" t="s">
        <v>1</v>
      </c>
      <c r="K172" s="3" t="s">
        <v>1</v>
      </c>
      <c r="L172" s="3" t="s">
        <v>1</v>
      </c>
      <c r="M172" s="4">
        <v>-866.25</v>
      </c>
      <c r="N172" s="5">
        <v>0</v>
      </c>
      <c r="O172" t="str">
        <f t="shared" si="23"/>
        <v>BANKNIFTY</v>
      </c>
      <c r="P172" t="str">
        <f>IF(SEARCH("NIFTY",O172),RIGHT(A172,7),0)</f>
        <v>44700CE</v>
      </c>
      <c r="Q172">
        <f t="shared" ref="Q172:Q174" si="30">M172/C172</f>
        <v>-0.18831521739130436</v>
      </c>
      <c r="S172">
        <v>-1</v>
      </c>
    </row>
    <row r="173" spans="1:19" x14ac:dyDescent="0.3">
      <c r="A173" s="1" t="s">
        <v>172</v>
      </c>
      <c r="B173" s="2">
        <v>45043</v>
      </c>
      <c r="C173" s="3">
        <v>1100</v>
      </c>
      <c r="D173" s="3">
        <v>25.22</v>
      </c>
      <c r="E173" s="3">
        <v>27741.25</v>
      </c>
      <c r="F173" s="3">
        <v>1100</v>
      </c>
      <c r="G173" s="3">
        <v>35.69</v>
      </c>
      <c r="H173" s="3">
        <f t="shared" si="22"/>
        <v>10.469999999999999</v>
      </c>
      <c r="I173" s="3">
        <v>39255</v>
      </c>
      <c r="J173" s="3" t="s">
        <v>1</v>
      </c>
      <c r="K173" s="3" t="s">
        <v>1</v>
      </c>
      <c r="L173" s="3" t="s">
        <v>1</v>
      </c>
      <c r="M173" s="5">
        <v>11513.75</v>
      </c>
      <c r="N173" s="5">
        <v>0</v>
      </c>
      <c r="O173" t="str">
        <f t="shared" si="23"/>
        <v>BANKNIFTY</v>
      </c>
      <c r="P173" t="str">
        <f>IF(SEARCH("NIFTY",O173),RIGHT(A173,7),0)</f>
        <v>42000PE</v>
      </c>
      <c r="Q173">
        <f t="shared" si="30"/>
        <v>10.467045454545454</v>
      </c>
      <c r="S173">
        <v>-1</v>
      </c>
    </row>
    <row r="174" spans="1:19" x14ac:dyDescent="0.3">
      <c r="A174" s="1" t="s">
        <v>173</v>
      </c>
      <c r="B174" s="2">
        <v>45127</v>
      </c>
      <c r="C174" s="3">
        <v>800</v>
      </c>
      <c r="D174" s="3">
        <v>4.03</v>
      </c>
      <c r="E174" s="3">
        <v>3220</v>
      </c>
      <c r="F174" s="3">
        <v>800</v>
      </c>
      <c r="G174" s="3">
        <v>5.12</v>
      </c>
      <c r="H174" s="3">
        <f t="shared" si="22"/>
        <v>1.0899999999999999</v>
      </c>
      <c r="I174" s="3">
        <v>4095</v>
      </c>
      <c r="J174" s="3" t="s">
        <v>1</v>
      </c>
      <c r="K174" s="3" t="s">
        <v>1</v>
      </c>
      <c r="L174" s="3" t="s">
        <v>1</v>
      </c>
      <c r="M174" s="5">
        <v>875</v>
      </c>
      <c r="N174" s="5">
        <v>0</v>
      </c>
      <c r="O174" t="str">
        <f t="shared" si="23"/>
        <v>BANKNIFTY</v>
      </c>
      <c r="P174" t="str">
        <f>IF(SEARCH("NIFTY",O174),RIGHT(A174,7),0)</f>
        <v>44300PE</v>
      </c>
      <c r="Q174">
        <f t="shared" si="30"/>
        <v>1.09375</v>
      </c>
      <c r="S174">
        <v>-0.95</v>
      </c>
    </row>
    <row r="175" spans="1:19" hidden="1" x14ac:dyDescent="0.3">
      <c r="A175" s="1" t="s">
        <v>174</v>
      </c>
      <c r="B175" s="2">
        <v>45141</v>
      </c>
      <c r="C175" s="3">
        <v>1000</v>
      </c>
      <c r="D175" s="3">
        <v>2.0499999999999998</v>
      </c>
      <c r="E175" s="3">
        <v>2050</v>
      </c>
      <c r="F175" s="3">
        <v>1000</v>
      </c>
      <c r="G175" s="3">
        <v>1.65</v>
      </c>
      <c r="H175" s="3">
        <f t="shared" si="22"/>
        <v>-0.39999999999999991</v>
      </c>
      <c r="I175" s="3">
        <v>1650</v>
      </c>
      <c r="J175" s="3" t="s">
        <v>1</v>
      </c>
      <c r="K175" s="3" t="s">
        <v>1</v>
      </c>
      <c r="L175" s="3" t="s">
        <v>1</v>
      </c>
      <c r="M175" s="4">
        <v>-400</v>
      </c>
      <c r="N175" s="5">
        <v>0</v>
      </c>
      <c r="O175" t="str">
        <f t="shared" si="23"/>
        <v>NIFTY</v>
      </c>
      <c r="P175" t="str">
        <f>IF(SEARCH("NIFTY",O175),RIGHT(A175,7),0)</f>
        <v>18800PE</v>
      </c>
      <c r="S175">
        <v>-0.93958333333333333</v>
      </c>
    </row>
    <row r="176" spans="1:19" x14ac:dyDescent="0.3">
      <c r="A176" s="1" t="s">
        <v>175</v>
      </c>
      <c r="B176" s="2">
        <v>45127</v>
      </c>
      <c r="C176" s="3">
        <v>300</v>
      </c>
      <c r="D176" s="3">
        <v>65.849999999999994</v>
      </c>
      <c r="E176" s="3">
        <v>19756.25</v>
      </c>
      <c r="F176" s="3">
        <v>300</v>
      </c>
      <c r="G176" s="3">
        <v>60</v>
      </c>
      <c r="H176" s="3">
        <f t="shared" si="22"/>
        <v>-5.8499999999999943</v>
      </c>
      <c r="I176" s="3">
        <v>18000</v>
      </c>
      <c r="J176" s="3" t="s">
        <v>1</v>
      </c>
      <c r="K176" s="3" t="s">
        <v>1</v>
      </c>
      <c r="L176" s="3" t="s">
        <v>1</v>
      </c>
      <c r="M176" s="4">
        <v>-1756.25</v>
      </c>
      <c r="N176" s="5">
        <v>0</v>
      </c>
      <c r="O176" t="str">
        <f t="shared" si="23"/>
        <v>BANKNIFTY</v>
      </c>
      <c r="P176" t="str">
        <f>IF(SEARCH("NIFTY",O176),RIGHT(A176,7),0)</f>
        <v>44200PE</v>
      </c>
      <c r="Q176">
        <f t="shared" ref="Q176:Q180" si="31">M176/C176</f>
        <v>-5.854166666666667</v>
      </c>
      <c r="S176">
        <v>-0.86796874999999996</v>
      </c>
    </row>
    <row r="177" spans="1:19" x14ac:dyDescent="0.3">
      <c r="A177" s="1" t="s">
        <v>176</v>
      </c>
      <c r="B177" s="2">
        <v>45113</v>
      </c>
      <c r="C177" s="3">
        <v>1350</v>
      </c>
      <c r="D177" s="3">
        <v>59.14</v>
      </c>
      <c r="E177" s="3">
        <v>79842.5</v>
      </c>
      <c r="F177" s="3">
        <v>1350</v>
      </c>
      <c r="G177" s="3">
        <v>86.04</v>
      </c>
      <c r="H177" s="3">
        <f t="shared" si="22"/>
        <v>26.900000000000006</v>
      </c>
      <c r="I177" s="3">
        <v>116157.5</v>
      </c>
      <c r="J177" s="3" t="s">
        <v>1</v>
      </c>
      <c r="K177" s="3" t="s">
        <v>1</v>
      </c>
      <c r="L177" s="3" t="s">
        <v>1</v>
      </c>
      <c r="M177" s="5">
        <v>36315</v>
      </c>
      <c r="N177" s="5">
        <v>0</v>
      </c>
      <c r="O177" t="str">
        <f t="shared" si="23"/>
        <v>BANKNIFTY</v>
      </c>
      <c r="P177" t="str">
        <f>IF(SEARCH("NIFTY",O177),RIGHT(A177,7),0)</f>
        <v>45000PE</v>
      </c>
      <c r="Q177">
        <f t="shared" si="31"/>
        <v>26.9</v>
      </c>
      <c r="S177">
        <v>-0.85</v>
      </c>
    </row>
    <row r="178" spans="1:19" x14ac:dyDescent="0.3">
      <c r="A178" s="1" t="s">
        <v>177</v>
      </c>
      <c r="B178" s="2">
        <v>45071</v>
      </c>
      <c r="C178" s="3">
        <v>400</v>
      </c>
      <c r="D178" s="3">
        <v>7.15</v>
      </c>
      <c r="E178" s="3">
        <v>2860</v>
      </c>
      <c r="F178" s="3">
        <v>400</v>
      </c>
      <c r="G178" s="3">
        <v>6.75</v>
      </c>
      <c r="H178" s="3">
        <f t="shared" si="22"/>
        <v>-0.40000000000000036</v>
      </c>
      <c r="I178" s="3">
        <v>2700</v>
      </c>
      <c r="J178" s="3" t="s">
        <v>1</v>
      </c>
      <c r="K178" s="3" t="s">
        <v>1</v>
      </c>
      <c r="L178" s="3" t="s">
        <v>1</v>
      </c>
      <c r="M178" s="4">
        <v>-160</v>
      </c>
      <c r="N178" s="5">
        <v>0</v>
      </c>
      <c r="O178" t="str">
        <f t="shared" si="23"/>
        <v>BANKNIFTY</v>
      </c>
      <c r="P178" t="str">
        <f>IF(SEARCH("NIFTY",O178),RIGHT(A178,7),0)</f>
        <v>42000PE</v>
      </c>
      <c r="Q178">
        <f t="shared" si="31"/>
        <v>-0.4</v>
      </c>
      <c r="S178">
        <v>-0.8225490196078431</v>
      </c>
    </row>
    <row r="179" spans="1:19" x14ac:dyDescent="0.3">
      <c r="A179" s="1" t="s">
        <v>178</v>
      </c>
      <c r="B179" s="2">
        <v>45071</v>
      </c>
      <c r="C179" s="3">
        <v>1100</v>
      </c>
      <c r="D179" s="3">
        <v>11.38</v>
      </c>
      <c r="E179" s="3">
        <v>12515</v>
      </c>
      <c r="F179" s="3">
        <v>1100</v>
      </c>
      <c r="G179" s="3">
        <v>20.3</v>
      </c>
      <c r="H179" s="3">
        <f t="shared" si="22"/>
        <v>8.92</v>
      </c>
      <c r="I179" s="3">
        <v>22335</v>
      </c>
      <c r="J179" s="3" t="s">
        <v>1</v>
      </c>
      <c r="K179" s="3" t="s">
        <v>1</v>
      </c>
      <c r="L179" s="3" t="s">
        <v>1</v>
      </c>
      <c r="M179" s="5">
        <v>9820</v>
      </c>
      <c r="N179" s="5">
        <v>0</v>
      </c>
      <c r="O179" t="str">
        <f t="shared" si="23"/>
        <v>BANKNIFTY</v>
      </c>
      <c r="P179" t="str">
        <f>IF(SEARCH("NIFTY",O179),RIGHT(A179,7),0)</f>
        <v>43300PE</v>
      </c>
      <c r="Q179">
        <f t="shared" si="31"/>
        <v>8.9272727272727277</v>
      </c>
      <c r="S179">
        <v>-0.80312499999999998</v>
      </c>
    </row>
    <row r="180" spans="1:19" x14ac:dyDescent="0.3">
      <c r="A180" s="1" t="s">
        <v>179</v>
      </c>
      <c r="B180" s="2">
        <v>45078</v>
      </c>
      <c r="C180" s="3">
        <v>600</v>
      </c>
      <c r="D180" s="3">
        <v>14.08</v>
      </c>
      <c r="E180" s="3">
        <v>8448.75</v>
      </c>
      <c r="F180" s="3">
        <v>600</v>
      </c>
      <c r="G180" s="3">
        <v>18.100000000000001</v>
      </c>
      <c r="H180" s="3">
        <f t="shared" si="22"/>
        <v>4.0200000000000014</v>
      </c>
      <c r="I180" s="3">
        <v>10860</v>
      </c>
      <c r="J180" s="3" t="s">
        <v>1</v>
      </c>
      <c r="K180" s="3" t="s">
        <v>1</v>
      </c>
      <c r="L180" s="3" t="s">
        <v>1</v>
      </c>
      <c r="M180" s="5">
        <v>2411.25</v>
      </c>
      <c r="N180" s="5">
        <v>0</v>
      </c>
      <c r="O180" t="str">
        <f t="shared" si="23"/>
        <v>BANKNIFTY</v>
      </c>
      <c r="P180" t="str">
        <f>IF(SEARCH("NIFTY",O180),RIGHT(A180,7),0)</f>
        <v>45100CE</v>
      </c>
      <c r="Q180">
        <f t="shared" si="31"/>
        <v>4.0187499999999998</v>
      </c>
      <c r="S180">
        <v>-0.78333333333333333</v>
      </c>
    </row>
    <row r="181" spans="1:19" hidden="1" x14ac:dyDescent="0.3">
      <c r="A181" s="1" t="s">
        <v>180</v>
      </c>
      <c r="B181" s="2">
        <v>45134</v>
      </c>
      <c r="C181" s="3">
        <v>1000</v>
      </c>
      <c r="D181" s="3">
        <v>22.2</v>
      </c>
      <c r="E181" s="3">
        <v>22200</v>
      </c>
      <c r="F181" s="3">
        <v>1000</v>
      </c>
      <c r="G181" s="3">
        <v>23.95</v>
      </c>
      <c r="H181" s="3">
        <f t="shared" si="22"/>
        <v>1.75</v>
      </c>
      <c r="I181" s="3">
        <v>23950</v>
      </c>
      <c r="J181" s="3" t="s">
        <v>1</v>
      </c>
      <c r="K181" s="3" t="s">
        <v>1</v>
      </c>
      <c r="L181" s="3" t="s">
        <v>1</v>
      </c>
      <c r="M181" s="5">
        <v>1750</v>
      </c>
      <c r="N181" s="5">
        <v>0</v>
      </c>
      <c r="O181" t="str">
        <f t="shared" si="23"/>
        <v>NIFTY</v>
      </c>
      <c r="P181" t="str">
        <f>IF(SEARCH("NIFTY",O181),RIGHT(A181,7),0)</f>
        <v>19900CE</v>
      </c>
      <c r="S181">
        <v>-0.75068493150684934</v>
      </c>
    </row>
    <row r="182" spans="1:19" x14ac:dyDescent="0.3">
      <c r="A182" s="1" t="s">
        <v>181</v>
      </c>
      <c r="B182" s="2">
        <v>45099</v>
      </c>
      <c r="C182" s="3">
        <v>2600</v>
      </c>
      <c r="D182" s="3">
        <v>2.96</v>
      </c>
      <c r="E182" s="3">
        <v>7700</v>
      </c>
      <c r="F182" s="3">
        <v>2600</v>
      </c>
      <c r="G182" s="3">
        <v>2.85</v>
      </c>
      <c r="H182" s="3">
        <f t="shared" si="22"/>
        <v>-0.10999999999999988</v>
      </c>
      <c r="I182" s="3">
        <v>7405</v>
      </c>
      <c r="J182" s="3" t="s">
        <v>1</v>
      </c>
      <c r="K182" s="3" t="s">
        <v>1</v>
      </c>
      <c r="L182" s="3" t="s">
        <v>1</v>
      </c>
      <c r="M182" s="4">
        <v>-295</v>
      </c>
      <c r="N182" s="5">
        <v>0</v>
      </c>
      <c r="O182" t="str">
        <f t="shared" si="23"/>
        <v>BANKNIFTY</v>
      </c>
      <c r="P182" t="str">
        <f>IF(SEARCH("NIFTY",O182),RIGHT(A182,7),0)</f>
        <v>45300CE</v>
      </c>
      <c r="Q182">
        <f t="shared" ref="Q182:Q187" si="32">M182/C182</f>
        <v>-0.11346153846153846</v>
      </c>
      <c r="S182">
        <v>-0.73035714285714282</v>
      </c>
    </row>
    <row r="183" spans="1:19" x14ac:dyDescent="0.3">
      <c r="A183" s="1" t="s">
        <v>182</v>
      </c>
      <c r="B183" s="2">
        <v>45050</v>
      </c>
      <c r="C183" s="3">
        <v>10050</v>
      </c>
      <c r="D183" s="3">
        <v>23.42</v>
      </c>
      <c r="E183" s="3">
        <v>235340</v>
      </c>
      <c r="F183" s="3">
        <v>10050</v>
      </c>
      <c r="G183" s="3">
        <v>20.34</v>
      </c>
      <c r="H183" s="3">
        <f t="shared" si="22"/>
        <v>-3.0800000000000018</v>
      </c>
      <c r="I183" s="3">
        <v>204376.25</v>
      </c>
      <c r="J183" s="3" t="s">
        <v>1</v>
      </c>
      <c r="K183" s="3" t="s">
        <v>1</v>
      </c>
      <c r="L183" s="3" t="s">
        <v>1</v>
      </c>
      <c r="M183" s="4">
        <v>-30963.75</v>
      </c>
      <c r="N183" s="5">
        <v>0</v>
      </c>
      <c r="O183" t="str">
        <f t="shared" si="23"/>
        <v>BANKNIFTY</v>
      </c>
      <c r="P183" t="str">
        <f>IF(SEARCH("NIFTY",O183),RIGHT(A183,7),0)</f>
        <v>43600CE</v>
      </c>
      <c r="Q183">
        <f t="shared" si="32"/>
        <v>-3.0809701492537314</v>
      </c>
      <c r="S183">
        <v>-0.69078212290502794</v>
      </c>
    </row>
    <row r="184" spans="1:19" x14ac:dyDescent="0.3">
      <c r="A184" s="1" t="s">
        <v>183</v>
      </c>
      <c r="B184" s="2">
        <v>45043</v>
      </c>
      <c r="C184" s="3">
        <v>1200</v>
      </c>
      <c r="D184" s="3">
        <v>7.52</v>
      </c>
      <c r="E184" s="3">
        <v>9020</v>
      </c>
      <c r="F184" s="3">
        <v>1200</v>
      </c>
      <c r="G184" s="3">
        <v>16.600000000000001</v>
      </c>
      <c r="H184" s="3">
        <f t="shared" si="22"/>
        <v>9.0800000000000018</v>
      </c>
      <c r="I184" s="3">
        <v>19915</v>
      </c>
      <c r="J184" s="3" t="s">
        <v>1</v>
      </c>
      <c r="K184" s="3" t="s">
        <v>1</v>
      </c>
      <c r="L184" s="3" t="s">
        <v>1</v>
      </c>
      <c r="M184" s="5">
        <v>10895</v>
      </c>
      <c r="N184" s="5">
        <v>0</v>
      </c>
      <c r="O184" t="str">
        <f t="shared" si="23"/>
        <v>BANKNIFTY</v>
      </c>
      <c r="P184" t="str">
        <f>IF(SEARCH("NIFTY",O184),RIGHT(A184,7),0)</f>
        <v>42700PE</v>
      </c>
      <c r="Q184">
        <f t="shared" si="32"/>
        <v>9.0791666666666675</v>
      </c>
      <c r="S184">
        <v>-0.61375000000000002</v>
      </c>
    </row>
    <row r="185" spans="1:19" x14ac:dyDescent="0.3">
      <c r="A185" s="1" t="s">
        <v>184</v>
      </c>
      <c r="B185" s="2">
        <v>45071</v>
      </c>
      <c r="C185" s="3">
        <v>1500</v>
      </c>
      <c r="D185" s="3">
        <v>17.91</v>
      </c>
      <c r="E185" s="3">
        <v>26870</v>
      </c>
      <c r="F185" s="3">
        <v>1500</v>
      </c>
      <c r="G185" s="3">
        <v>23.14</v>
      </c>
      <c r="H185" s="3">
        <f t="shared" si="22"/>
        <v>5.23</v>
      </c>
      <c r="I185" s="3">
        <v>34703.75</v>
      </c>
      <c r="J185" s="3" t="s">
        <v>1</v>
      </c>
      <c r="K185" s="3" t="s">
        <v>1</v>
      </c>
      <c r="L185" s="3" t="s">
        <v>1</v>
      </c>
      <c r="M185" s="5">
        <v>7833.75</v>
      </c>
      <c r="N185" s="5">
        <v>0</v>
      </c>
      <c r="O185" t="str">
        <f t="shared" si="23"/>
        <v>BANKNIFTY</v>
      </c>
      <c r="P185" t="str">
        <f>IF(SEARCH("NIFTY",O185),RIGHT(A185,7),0)</f>
        <v>43100PE</v>
      </c>
      <c r="Q185">
        <f t="shared" si="32"/>
        <v>5.2225000000000001</v>
      </c>
      <c r="S185">
        <v>-0.55000000000000004</v>
      </c>
    </row>
    <row r="186" spans="1:19" x14ac:dyDescent="0.3">
      <c r="A186" s="1" t="s">
        <v>185</v>
      </c>
      <c r="B186" s="2">
        <v>45169</v>
      </c>
      <c r="C186" s="3">
        <v>1485</v>
      </c>
      <c r="D186" s="3">
        <v>15.8</v>
      </c>
      <c r="E186" s="3">
        <v>23460</v>
      </c>
      <c r="F186" s="3">
        <v>1485</v>
      </c>
      <c r="G186" s="3">
        <v>16.28</v>
      </c>
      <c r="H186" s="3">
        <f t="shared" si="22"/>
        <v>0.48000000000000043</v>
      </c>
      <c r="I186" s="3">
        <v>24176.25</v>
      </c>
      <c r="J186" s="3" t="s">
        <v>1</v>
      </c>
      <c r="K186" s="3" t="s">
        <v>1</v>
      </c>
      <c r="L186" s="3" t="s">
        <v>1</v>
      </c>
      <c r="M186" s="5">
        <v>716.25</v>
      </c>
      <c r="N186" s="5">
        <v>0</v>
      </c>
      <c r="O186" t="str">
        <f t="shared" si="23"/>
        <v>BANKNIFTY</v>
      </c>
      <c r="P186" t="str">
        <f>IF(SEARCH("NIFTY",O186),RIGHT(A186,7),0)</f>
        <v>44300CE</v>
      </c>
      <c r="Q186">
        <f t="shared" si="32"/>
        <v>0.48232323232323232</v>
      </c>
      <c r="S186">
        <v>-0.53967391304347823</v>
      </c>
    </row>
    <row r="187" spans="1:19" x14ac:dyDescent="0.3">
      <c r="A187" s="1" t="s">
        <v>186</v>
      </c>
      <c r="B187" s="2">
        <v>45127</v>
      </c>
      <c r="C187" s="3">
        <v>300</v>
      </c>
      <c r="D187" s="3">
        <v>72.77</v>
      </c>
      <c r="E187" s="3">
        <v>21830</v>
      </c>
      <c r="F187" s="3">
        <v>300</v>
      </c>
      <c r="G187" s="3">
        <v>81.61</v>
      </c>
      <c r="H187" s="3">
        <f t="shared" si="22"/>
        <v>8.8400000000000034</v>
      </c>
      <c r="I187" s="3">
        <v>24483.75</v>
      </c>
      <c r="J187" s="3" t="s">
        <v>1</v>
      </c>
      <c r="K187" s="3" t="s">
        <v>1</v>
      </c>
      <c r="L187" s="3" t="s">
        <v>1</v>
      </c>
      <c r="M187" s="5">
        <v>2653.75</v>
      </c>
      <c r="N187" s="5">
        <v>0</v>
      </c>
      <c r="O187" t="str">
        <f t="shared" si="23"/>
        <v>BANKNIFTY</v>
      </c>
      <c r="P187" t="str">
        <f>IF(SEARCH("NIFTY",O187),RIGHT(A187,7),0)</f>
        <v>45300CE</v>
      </c>
      <c r="Q187">
        <f t="shared" si="32"/>
        <v>8.8458333333333332</v>
      </c>
      <c r="S187">
        <v>-0.53307692307692311</v>
      </c>
    </row>
    <row r="188" spans="1:19" hidden="1" x14ac:dyDescent="0.3">
      <c r="A188" s="1" t="s">
        <v>187</v>
      </c>
      <c r="B188" s="2">
        <v>45085</v>
      </c>
      <c r="C188" s="3">
        <v>2000</v>
      </c>
      <c r="D188" s="3">
        <v>0.95</v>
      </c>
      <c r="E188" s="3">
        <v>1900</v>
      </c>
      <c r="F188" s="3">
        <v>2000</v>
      </c>
      <c r="G188" s="3">
        <v>0.9</v>
      </c>
      <c r="H188" s="3">
        <f t="shared" si="22"/>
        <v>-4.9999999999999933E-2</v>
      </c>
      <c r="I188" s="3">
        <v>1800</v>
      </c>
      <c r="J188" s="3" t="s">
        <v>1</v>
      </c>
      <c r="K188" s="3" t="s">
        <v>1</v>
      </c>
      <c r="L188" s="3" t="s">
        <v>1</v>
      </c>
      <c r="M188" s="4">
        <v>-100</v>
      </c>
      <c r="N188" s="5">
        <v>0</v>
      </c>
      <c r="O188" t="str">
        <f t="shared" si="23"/>
        <v>NIFTY</v>
      </c>
      <c r="P188" t="str">
        <f>IF(SEARCH("NIFTY",O188),RIGHT(A188,7),0)</f>
        <v>18950CE</v>
      </c>
      <c r="S188">
        <v>-0.5</v>
      </c>
    </row>
    <row r="189" spans="1:19" hidden="1" x14ac:dyDescent="0.3">
      <c r="A189" s="1" t="s">
        <v>188</v>
      </c>
      <c r="B189" s="2">
        <v>45125</v>
      </c>
      <c r="C189" s="3">
        <v>600</v>
      </c>
      <c r="D189" s="3">
        <v>0.75</v>
      </c>
      <c r="E189" s="3">
        <v>450</v>
      </c>
      <c r="F189" s="3">
        <v>600</v>
      </c>
      <c r="G189" s="3">
        <v>0.05</v>
      </c>
      <c r="H189" s="3">
        <f t="shared" si="22"/>
        <v>-0.7</v>
      </c>
      <c r="I189" s="3">
        <v>30</v>
      </c>
      <c r="J189" s="3" t="s">
        <v>1</v>
      </c>
      <c r="K189" s="3" t="s">
        <v>1</v>
      </c>
      <c r="L189" s="3" t="s">
        <v>1</v>
      </c>
      <c r="M189" s="4">
        <v>-420</v>
      </c>
      <c r="N189" s="5">
        <v>0</v>
      </c>
      <c r="O189" t="str">
        <f t="shared" si="23"/>
        <v>FINNIFTY</v>
      </c>
      <c r="P189" t="str">
        <f>IF(SEARCH("NIFTY",O189),RIGHT(A189,7),0)</f>
        <v>19000PE</v>
      </c>
      <c r="S189">
        <v>-0.45</v>
      </c>
    </row>
    <row r="190" spans="1:19" hidden="1" x14ac:dyDescent="0.3">
      <c r="A190" s="1" t="s">
        <v>189</v>
      </c>
      <c r="B190" s="2">
        <v>45036</v>
      </c>
      <c r="C190" s="3">
        <v>50</v>
      </c>
      <c r="D190" s="3">
        <v>2.95</v>
      </c>
      <c r="E190" s="3">
        <v>147.5</v>
      </c>
      <c r="F190" s="3">
        <v>50</v>
      </c>
      <c r="G190" s="3">
        <v>1.25</v>
      </c>
      <c r="H190" s="3">
        <f t="shared" si="22"/>
        <v>-1.7000000000000002</v>
      </c>
      <c r="I190" s="3">
        <v>62.5</v>
      </c>
      <c r="J190" s="3" t="s">
        <v>1</v>
      </c>
      <c r="K190" s="3" t="s">
        <v>1</v>
      </c>
      <c r="L190" s="3" t="s">
        <v>1</v>
      </c>
      <c r="M190" s="4">
        <v>-85</v>
      </c>
      <c r="N190" s="5">
        <v>0</v>
      </c>
      <c r="O190" t="str">
        <f t="shared" si="23"/>
        <v>NIFTY</v>
      </c>
      <c r="P190" t="str">
        <f>IF(SEARCH("NIFTY",O190),RIGHT(A190,7),0)</f>
        <v>17800CE</v>
      </c>
      <c r="S190">
        <v>-0.44628378378378381</v>
      </c>
    </row>
    <row r="191" spans="1:19" hidden="1" x14ac:dyDescent="0.3">
      <c r="A191" s="1" t="s">
        <v>190</v>
      </c>
      <c r="B191" s="2">
        <v>45099</v>
      </c>
      <c r="C191" s="3">
        <v>2000</v>
      </c>
      <c r="D191" s="3">
        <v>19.510000000000002</v>
      </c>
      <c r="E191" s="3">
        <v>39020</v>
      </c>
      <c r="F191" s="3">
        <v>2000</v>
      </c>
      <c r="G191" s="3">
        <v>21.67</v>
      </c>
      <c r="H191" s="3">
        <f t="shared" si="22"/>
        <v>2.16</v>
      </c>
      <c r="I191" s="3">
        <v>43337.5</v>
      </c>
      <c r="J191" s="3" t="s">
        <v>1</v>
      </c>
      <c r="K191" s="3" t="s">
        <v>1</v>
      </c>
      <c r="L191" s="3" t="s">
        <v>1</v>
      </c>
      <c r="M191" s="5">
        <v>4317.5</v>
      </c>
      <c r="N191" s="5">
        <v>0</v>
      </c>
      <c r="O191" t="str">
        <f t="shared" si="23"/>
        <v>NIFTY</v>
      </c>
      <c r="P191" t="str">
        <f>IF(SEARCH("NIFTY",O191),RIGHT(A191,7),0)</f>
        <v>18900CE</v>
      </c>
      <c r="S191">
        <v>-0.42304687499999999</v>
      </c>
    </row>
    <row r="192" spans="1:19" x14ac:dyDescent="0.3">
      <c r="A192" s="1" t="s">
        <v>191</v>
      </c>
      <c r="B192" s="2">
        <v>45105</v>
      </c>
      <c r="C192" s="3">
        <v>1225</v>
      </c>
      <c r="D192" s="3">
        <v>62.32</v>
      </c>
      <c r="E192" s="3">
        <v>76336.25</v>
      </c>
      <c r="F192" s="3">
        <v>1225</v>
      </c>
      <c r="G192" s="3">
        <v>68.61</v>
      </c>
      <c r="H192" s="3">
        <f t="shared" si="22"/>
        <v>6.2899999999999991</v>
      </c>
      <c r="I192" s="3">
        <v>84042.5</v>
      </c>
      <c r="J192" s="3" t="s">
        <v>1</v>
      </c>
      <c r="K192" s="3" t="s">
        <v>1</v>
      </c>
      <c r="L192" s="3" t="s">
        <v>1</v>
      </c>
      <c r="M192" s="5">
        <v>7706.25</v>
      </c>
      <c r="N192" s="5">
        <v>0</v>
      </c>
      <c r="O192" t="str">
        <f t="shared" si="23"/>
        <v>BANKNIFTY</v>
      </c>
      <c r="P192" t="str">
        <f>IF(SEARCH("NIFTY",O192),RIGHT(A192,7),0)</f>
        <v>43900PE</v>
      </c>
      <c r="Q192">
        <f t="shared" ref="Q192:Q196" si="33">M192/C192</f>
        <v>6.2908163265306118</v>
      </c>
      <c r="S192">
        <v>-0.4</v>
      </c>
    </row>
    <row r="193" spans="1:19" x14ac:dyDescent="0.3">
      <c r="A193" s="1" t="s">
        <v>192</v>
      </c>
      <c r="B193" s="2">
        <v>45113</v>
      </c>
      <c r="C193" s="3">
        <v>500</v>
      </c>
      <c r="D193" s="3">
        <v>5.55</v>
      </c>
      <c r="E193" s="3">
        <v>2775</v>
      </c>
      <c r="F193" s="3">
        <v>500</v>
      </c>
      <c r="G193" s="3">
        <v>6.6</v>
      </c>
      <c r="H193" s="3">
        <f t="shared" si="22"/>
        <v>1.0499999999999998</v>
      </c>
      <c r="I193" s="3">
        <v>3300</v>
      </c>
      <c r="J193" s="3" t="s">
        <v>1</v>
      </c>
      <c r="K193" s="3" t="s">
        <v>1</v>
      </c>
      <c r="L193" s="3" t="s">
        <v>1</v>
      </c>
      <c r="M193" s="5">
        <v>525</v>
      </c>
      <c r="N193" s="5">
        <v>0</v>
      </c>
      <c r="O193" t="str">
        <f t="shared" si="23"/>
        <v>BANKNIFTY</v>
      </c>
      <c r="P193" t="str">
        <f>IF(SEARCH("NIFTY",O193),RIGHT(A193,7),0)</f>
        <v>40000PE</v>
      </c>
      <c r="Q193">
        <f t="shared" si="33"/>
        <v>1.05</v>
      </c>
      <c r="S193">
        <v>-0.4</v>
      </c>
    </row>
    <row r="194" spans="1:19" x14ac:dyDescent="0.3">
      <c r="A194" s="1" t="s">
        <v>193</v>
      </c>
      <c r="B194" s="2">
        <v>45064</v>
      </c>
      <c r="C194" s="3">
        <v>1650</v>
      </c>
      <c r="D194" s="3">
        <v>33.65</v>
      </c>
      <c r="E194" s="3">
        <v>55525</v>
      </c>
      <c r="F194" s="3">
        <v>1650</v>
      </c>
      <c r="G194" s="3">
        <v>30.41</v>
      </c>
      <c r="H194" s="3">
        <f t="shared" si="22"/>
        <v>-3.2399999999999984</v>
      </c>
      <c r="I194" s="3">
        <v>50176.25</v>
      </c>
      <c r="J194" s="3" t="s">
        <v>1</v>
      </c>
      <c r="K194" s="3" t="s">
        <v>1</v>
      </c>
      <c r="L194" s="3" t="s">
        <v>1</v>
      </c>
      <c r="M194" s="4">
        <v>-5348.75</v>
      </c>
      <c r="N194" s="5">
        <v>0</v>
      </c>
      <c r="O194" t="str">
        <f t="shared" si="23"/>
        <v>BANKNIFTY</v>
      </c>
      <c r="P194" t="str">
        <f>IF(SEARCH("NIFTY",O194),RIGHT(A194,7),0)</f>
        <v>42700PE</v>
      </c>
      <c r="Q194">
        <f t="shared" si="33"/>
        <v>-3.2416666666666667</v>
      </c>
      <c r="S194">
        <v>-0.38738738738738737</v>
      </c>
    </row>
    <row r="195" spans="1:19" x14ac:dyDescent="0.3">
      <c r="A195" s="1" t="s">
        <v>194</v>
      </c>
      <c r="B195" s="2">
        <v>45064</v>
      </c>
      <c r="C195" s="3">
        <v>4350</v>
      </c>
      <c r="D195" s="3">
        <v>28.3</v>
      </c>
      <c r="E195" s="3">
        <v>123083.75</v>
      </c>
      <c r="F195" s="3">
        <v>4350</v>
      </c>
      <c r="G195" s="3">
        <v>29.23</v>
      </c>
      <c r="H195" s="3">
        <f t="shared" ref="H195:H258" si="34">G195-D195</f>
        <v>0.92999999999999972</v>
      </c>
      <c r="I195" s="3">
        <v>127141.25</v>
      </c>
      <c r="J195" s="3" t="s">
        <v>1</v>
      </c>
      <c r="K195" s="3" t="s">
        <v>1</v>
      </c>
      <c r="L195" s="3" t="s">
        <v>1</v>
      </c>
      <c r="M195" s="5">
        <v>4057.5</v>
      </c>
      <c r="N195" s="5">
        <v>0</v>
      </c>
      <c r="O195" t="str">
        <f t="shared" ref="O195:O258" si="35">LEFT(A195, FIND("NIFTY", A195) +4)</f>
        <v>BANKNIFTY</v>
      </c>
      <c r="P195" t="str">
        <f>IF(SEARCH("NIFTY",O195),RIGHT(A195,7),0)</f>
        <v>44400CE</v>
      </c>
      <c r="Q195">
        <f t="shared" si="33"/>
        <v>0.9327586206896552</v>
      </c>
      <c r="S195">
        <v>-0.37586206896551722</v>
      </c>
    </row>
    <row r="196" spans="1:19" x14ac:dyDescent="0.3">
      <c r="A196" s="1" t="s">
        <v>195</v>
      </c>
      <c r="B196" s="2">
        <v>45169</v>
      </c>
      <c r="C196" s="3">
        <v>1305</v>
      </c>
      <c r="D196" s="3">
        <v>5.44</v>
      </c>
      <c r="E196" s="3">
        <v>7096.5</v>
      </c>
      <c r="F196" s="3">
        <v>1305</v>
      </c>
      <c r="G196" s="3">
        <v>3.51</v>
      </c>
      <c r="H196" s="3">
        <f t="shared" si="34"/>
        <v>-1.9300000000000006</v>
      </c>
      <c r="I196" s="3">
        <v>4574.25</v>
      </c>
      <c r="J196" s="3" t="s">
        <v>1</v>
      </c>
      <c r="K196" s="3" t="s">
        <v>1</v>
      </c>
      <c r="L196" s="3" t="s">
        <v>1</v>
      </c>
      <c r="M196" s="4">
        <v>-2522.25</v>
      </c>
      <c r="N196" s="5">
        <v>0</v>
      </c>
      <c r="O196" t="str">
        <f t="shared" si="35"/>
        <v>BANKNIFTY</v>
      </c>
      <c r="P196" t="str">
        <f>IF(SEARCH("NIFTY",O196),RIGHT(A196,7),0)</f>
        <v>45300CE</v>
      </c>
      <c r="Q196">
        <f t="shared" si="33"/>
        <v>-1.9327586206896552</v>
      </c>
      <c r="S196">
        <v>-0.36249999999999999</v>
      </c>
    </row>
    <row r="197" spans="1:19" hidden="1" x14ac:dyDescent="0.3">
      <c r="A197" s="1" t="s">
        <v>196</v>
      </c>
      <c r="B197" s="2">
        <v>45048</v>
      </c>
      <c r="C197" s="3">
        <v>1000</v>
      </c>
      <c r="D197" s="3">
        <v>1.45</v>
      </c>
      <c r="E197" s="3">
        <v>1450</v>
      </c>
      <c r="F197" s="3">
        <v>1000</v>
      </c>
      <c r="G197" s="3">
        <v>1.4</v>
      </c>
      <c r="H197" s="3">
        <f t="shared" si="34"/>
        <v>-5.0000000000000044E-2</v>
      </c>
      <c r="I197" s="3">
        <v>1400</v>
      </c>
      <c r="J197" s="3" t="s">
        <v>1</v>
      </c>
      <c r="K197" s="3" t="s">
        <v>1</v>
      </c>
      <c r="L197" s="3" t="s">
        <v>1</v>
      </c>
      <c r="M197" s="4">
        <v>-50</v>
      </c>
      <c r="N197" s="5">
        <v>0</v>
      </c>
      <c r="O197" t="str">
        <f t="shared" si="35"/>
        <v>FINNIFTY</v>
      </c>
      <c r="P197" t="str">
        <f>IF(SEARCH("NIFTY",O197),RIGHT(A197,7),0)</f>
        <v>19000PE</v>
      </c>
      <c r="S197">
        <v>-0.34375</v>
      </c>
    </row>
    <row r="198" spans="1:19" x14ac:dyDescent="0.3">
      <c r="A198" s="1" t="s">
        <v>197</v>
      </c>
      <c r="B198" s="2">
        <v>45071</v>
      </c>
      <c r="C198" s="3">
        <v>500</v>
      </c>
      <c r="D198" s="3">
        <v>12.6</v>
      </c>
      <c r="E198" s="3">
        <v>6300</v>
      </c>
      <c r="F198" s="3">
        <v>500</v>
      </c>
      <c r="G198" s="3">
        <v>22.15</v>
      </c>
      <c r="H198" s="3">
        <f t="shared" si="34"/>
        <v>9.5499999999999989</v>
      </c>
      <c r="I198" s="3">
        <v>11075</v>
      </c>
      <c r="J198" s="3" t="s">
        <v>1</v>
      </c>
      <c r="K198" s="3" t="s">
        <v>1</v>
      </c>
      <c r="L198" s="3" t="s">
        <v>1</v>
      </c>
      <c r="M198" s="5">
        <v>4775</v>
      </c>
      <c r="N198" s="5">
        <v>0</v>
      </c>
      <c r="O198" t="str">
        <f t="shared" si="35"/>
        <v>BANKNIFTY</v>
      </c>
      <c r="P198" t="str">
        <f>IF(SEARCH("NIFTY",O198),RIGHT(A198,7),0)</f>
        <v>44400CE</v>
      </c>
      <c r="Q198">
        <f>M198/C198</f>
        <v>9.5500000000000007</v>
      </c>
      <c r="S198">
        <v>-0.32343749999999999</v>
      </c>
    </row>
    <row r="199" spans="1:19" hidden="1" x14ac:dyDescent="0.3">
      <c r="A199" s="1" t="s">
        <v>198</v>
      </c>
      <c r="B199" s="2">
        <v>45097</v>
      </c>
      <c r="C199" s="3">
        <v>1200</v>
      </c>
      <c r="D199" s="3">
        <v>3.15</v>
      </c>
      <c r="E199" s="3">
        <v>3780</v>
      </c>
      <c r="F199" s="3">
        <v>1200</v>
      </c>
      <c r="G199" s="3">
        <v>4.0999999999999996</v>
      </c>
      <c r="H199" s="3">
        <f t="shared" si="34"/>
        <v>0.94999999999999973</v>
      </c>
      <c r="I199" s="3">
        <v>4920</v>
      </c>
      <c r="J199" s="3" t="s">
        <v>1</v>
      </c>
      <c r="K199" s="3" t="s">
        <v>1</v>
      </c>
      <c r="L199" s="3" t="s">
        <v>1</v>
      </c>
      <c r="M199" s="5">
        <v>1140</v>
      </c>
      <c r="N199" s="5">
        <v>0</v>
      </c>
      <c r="O199" t="str">
        <f t="shared" si="35"/>
        <v>FINNIFTY</v>
      </c>
      <c r="P199" t="str">
        <f>IF(SEARCH("NIFTY",O199),RIGHT(A199,7),0)</f>
        <v>19000PE</v>
      </c>
      <c r="S199">
        <v>-0.32162162162162161</v>
      </c>
    </row>
    <row r="200" spans="1:19" x14ac:dyDescent="0.3">
      <c r="A200" s="1" t="s">
        <v>199</v>
      </c>
      <c r="B200" s="2">
        <v>45162</v>
      </c>
      <c r="C200" s="3">
        <v>3105</v>
      </c>
      <c r="D200" s="3">
        <v>12.75</v>
      </c>
      <c r="E200" s="3">
        <v>39602.25</v>
      </c>
      <c r="F200" s="3">
        <v>3105</v>
      </c>
      <c r="G200" s="3">
        <v>5.53</v>
      </c>
      <c r="H200" s="3">
        <f t="shared" si="34"/>
        <v>-7.22</v>
      </c>
      <c r="I200" s="3">
        <v>17172</v>
      </c>
      <c r="J200" s="3" t="s">
        <v>1</v>
      </c>
      <c r="K200" s="3" t="s">
        <v>1</v>
      </c>
      <c r="L200" s="3" t="s">
        <v>1</v>
      </c>
      <c r="M200" s="4">
        <v>-22430.25</v>
      </c>
      <c r="N200" s="5">
        <v>0</v>
      </c>
      <c r="O200" t="str">
        <f t="shared" si="35"/>
        <v>BANKNIFTY</v>
      </c>
      <c r="P200" t="str">
        <f>IF(SEARCH("NIFTY",O200),RIGHT(A200,7),0)</f>
        <v>44200PE</v>
      </c>
      <c r="Q200">
        <f t="shared" ref="Q200:Q201" si="36">M200/C200</f>
        <v>-7.2239130434782606</v>
      </c>
      <c r="S200">
        <v>-0.28636363636363638</v>
      </c>
    </row>
    <row r="201" spans="1:19" x14ac:dyDescent="0.3">
      <c r="A201" s="1" t="s">
        <v>200</v>
      </c>
      <c r="B201" s="2">
        <v>45141</v>
      </c>
      <c r="C201" s="3">
        <v>1200</v>
      </c>
      <c r="D201" s="3">
        <v>61.09</v>
      </c>
      <c r="E201" s="3">
        <v>73313.25</v>
      </c>
      <c r="F201" s="3">
        <v>1200</v>
      </c>
      <c r="G201" s="3">
        <v>64.040000000000006</v>
      </c>
      <c r="H201" s="3">
        <f t="shared" si="34"/>
        <v>2.9500000000000028</v>
      </c>
      <c r="I201" s="3">
        <v>76848</v>
      </c>
      <c r="J201" s="3" t="s">
        <v>1</v>
      </c>
      <c r="K201" s="3" t="s">
        <v>1</v>
      </c>
      <c r="L201" s="3" t="s">
        <v>1</v>
      </c>
      <c r="M201" s="5">
        <v>3534.75</v>
      </c>
      <c r="N201" s="5">
        <v>0</v>
      </c>
      <c r="O201" t="str">
        <f t="shared" si="35"/>
        <v>BANKNIFTY</v>
      </c>
      <c r="P201" t="str">
        <f>IF(SEARCH("NIFTY",O201),RIGHT(A201,7),0)</f>
        <v>44800PE</v>
      </c>
      <c r="Q201">
        <f t="shared" si="36"/>
        <v>2.9456250000000002</v>
      </c>
      <c r="S201">
        <v>-0.28372093023255812</v>
      </c>
    </row>
    <row r="202" spans="1:19" hidden="1" x14ac:dyDescent="0.3">
      <c r="A202" s="1" t="s">
        <v>201</v>
      </c>
      <c r="B202" s="2">
        <v>45043</v>
      </c>
      <c r="C202" s="3">
        <v>1400</v>
      </c>
      <c r="D202" s="3">
        <v>1.05</v>
      </c>
      <c r="E202" s="3">
        <v>1470</v>
      </c>
      <c r="F202" s="3">
        <v>1400</v>
      </c>
      <c r="G202" s="3">
        <v>0.85</v>
      </c>
      <c r="H202" s="3">
        <f t="shared" si="34"/>
        <v>-0.20000000000000007</v>
      </c>
      <c r="I202" s="3">
        <v>1190</v>
      </c>
      <c r="J202" s="3" t="s">
        <v>1</v>
      </c>
      <c r="K202" s="3" t="s">
        <v>1</v>
      </c>
      <c r="L202" s="3" t="s">
        <v>1</v>
      </c>
      <c r="M202" s="4">
        <v>-280</v>
      </c>
      <c r="N202" s="5">
        <v>0</v>
      </c>
      <c r="O202" t="str">
        <f t="shared" si="35"/>
        <v>NIFTY</v>
      </c>
      <c r="P202" t="str">
        <f>IF(SEARCH("NIFTY",O202),RIGHT(A202,7),0)</f>
        <v>18000CE</v>
      </c>
      <c r="S202">
        <v>-0.26604938271604939</v>
      </c>
    </row>
    <row r="203" spans="1:19" x14ac:dyDescent="0.3">
      <c r="A203" s="1" t="s">
        <v>202</v>
      </c>
      <c r="B203" s="2">
        <v>45099</v>
      </c>
      <c r="C203" s="3">
        <v>6400</v>
      </c>
      <c r="D203" s="3">
        <v>22.69</v>
      </c>
      <c r="E203" s="3">
        <v>145206.25</v>
      </c>
      <c r="F203" s="3">
        <v>6400</v>
      </c>
      <c r="G203" s="3">
        <v>23.5</v>
      </c>
      <c r="H203" s="3">
        <f t="shared" si="34"/>
        <v>0.80999999999999872</v>
      </c>
      <c r="I203" s="3">
        <v>150375</v>
      </c>
      <c r="J203" s="3" t="s">
        <v>1</v>
      </c>
      <c r="K203" s="3" t="s">
        <v>1</v>
      </c>
      <c r="L203" s="3" t="s">
        <v>1</v>
      </c>
      <c r="M203" s="5">
        <v>5168.75</v>
      </c>
      <c r="N203" s="5">
        <v>0</v>
      </c>
      <c r="O203" t="str">
        <f t="shared" si="35"/>
        <v>BANKNIFTY</v>
      </c>
      <c r="P203" t="str">
        <f>IF(SEARCH("NIFTY",O203),RIGHT(A203,7),0)</f>
        <v>44300CE</v>
      </c>
      <c r="Q203">
        <f t="shared" ref="Q203:Q205" si="37">M203/C203</f>
        <v>0.8076171875</v>
      </c>
      <c r="S203">
        <v>-0.25</v>
      </c>
    </row>
    <row r="204" spans="1:19" x14ac:dyDescent="0.3">
      <c r="A204" s="1" t="s">
        <v>203</v>
      </c>
      <c r="B204" s="2">
        <v>45050</v>
      </c>
      <c r="C204" s="3">
        <v>6650</v>
      </c>
      <c r="D204" s="3">
        <v>56.11</v>
      </c>
      <c r="E204" s="3">
        <v>373161.25</v>
      </c>
      <c r="F204" s="3">
        <v>6650</v>
      </c>
      <c r="G204" s="3">
        <v>62.2</v>
      </c>
      <c r="H204" s="3">
        <f t="shared" si="34"/>
        <v>6.0900000000000034</v>
      </c>
      <c r="I204" s="3">
        <v>413633.75</v>
      </c>
      <c r="J204" s="3" t="s">
        <v>1</v>
      </c>
      <c r="K204" s="3" t="s">
        <v>1</v>
      </c>
      <c r="L204" s="3" t="s">
        <v>1</v>
      </c>
      <c r="M204" s="5">
        <v>40472.5</v>
      </c>
      <c r="N204" s="5">
        <v>0</v>
      </c>
      <c r="O204" t="str">
        <f t="shared" si="35"/>
        <v>BANKNIFTY</v>
      </c>
      <c r="P204" t="str">
        <f>IF(SEARCH("NIFTY",O204),RIGHT(A204,7),0)</f>
        <v>42500PE</v>
      </c>
      <c r="Q204">
        <f t="shared" si="37"/>
        <v>6.0860902255639102</v>
      </c>
      <c r="S204">
        <v>-0.20333333333333334</v>
      </c>
    </row>
    <row r="205" spans="1:19" x14ac:dyDescent="0.3">
      <c r="A205" s="1" t="s">
        <v>204</v>
      </c>
      <c r="B205" s="2">
        <v>45134</v>
      </c>
      <c r="C205" s="3">
        <v>180</v>
      </c>
      <c r="D205" s="3">
        <v>56.9</v>
      </c>
      <c r="E205" s="3">
        <v>10242</v>
      </c>
      <c r="F205" s="3">
        <v>180</v>
      </c>
      <c r="G205" s="3">
        <v>58.15</v>
      </c>
      <c r="H205" s="3">
        <f t="shared" si="34"/>
        <v>1.25</v>
      </c>
      <c r="I205" s="3">
        <v>10467.75</v>
      </c>
      <c r="J205" s="3" t="s">
        <v>1</v>
      </c>
      <c r="K205" s="3" t="s">
        <v>1</v>
      </c>
      <c r="L205" s="3" t="s">
        <v>1</v>
      </c>
      <c r="M205" s="5">
        <v>225.75</v>
      </c>
      <c r="N205" s="5">
        <v>0</v>
      </c>
      <c r="O205" t="str">
        <f t="shared" si="35"/>
        <v>BANKNIFTY</v>
      </c>
      <c r="P205" t="str">
        <f>IF(SEARCH("NIFTY",O205),RIGHT(A205,7),0)</f>
        <v>45000PE</v>
      </c>
      <c r="Q205">
        <f t="shared" si="37"/>
        <v>1.2541666666666667</v>
      </c>
      <c r="S205">
        <v>-0.20287356321839081</v>
      </c>
    </row>
    <row r="206" spans="1:19" hidden="1" x14ac:dyDescent="0.3">
      <c r="A206" s="1" t="s">
        <v>205</v>
      </c>
      <c r="B206" s="2">
        <v>45092</v>
      </c>
      <c r="C206" s="3">
        <v>6500</v>
      </c>
      <c r="D206" s="3">
        <v>5.97</v>
      </c>
      <c r="E206" s="3">
        <v>38820</v>
      </c>
      <c r="F206" s="3">
        <v>6500</v>
      </c>
      <c r="G206" s="3">
        <v>5.34</v>
      </c>
      <c r="H206" s="3">
        <f t="shared" si="34"/>
        <v>-0.62999999999999989</v>
      </c>
      <c r="I206" s="3">
        <v>34695</v>
      </c>
      <c r="J206" s="3" t="s">
        <v>1</v>
      </c>
      <c r="K206" s="3" t="s">
        <v>1</v>
      </c>
      <c r="L206" s="3" t="s">
        <v>1</v>
      </c>
      <c r="M206" s="4">
        <v>-4125</v>
      </c>
      <c r="N206" s="5">
        <v>0</v>
      </c>
      <c r="O206" t="str">
        <f t="shared" si="35"/>
        <v>NIFTY</v>
      </c>
      <c r="P206" t="str">
        <f>IF(SEARCH("NIFTY",O206),RIGHT(A206,7),0)</f>
        <v>18650PE</v>
      </c>
      <c r="S206">
        <v>-0.2</v>
      </c>
    </row>
    <row r="207" spans="1:19" hidden="1" x14ac:dyDescent="0.3">
      <c r="A207" s="1" t="s">
        <v>206</v>
      </c>
      <c r="B207" s="2">
        <v>45099</v>
      </c>
      <c r="C207" s="3">
        <v>2000</v>
      </c>
      <c r="D207" s="3">
        <v>4.8099999999999996</v>
      </c>
      <c r="E207" s="3">
        <v>9622.5</v>
      </c>
      <c r="F207" s="3">
        <v>2000</v>
      </c>
      <c r="G207" s="3">
        <v>8.6</v>
      </c>
      <c r="H207" s="3">
        <f t="shared" si="34"/>
        <v>3.79</v>
      </c>
      <c r="I207" s="3">
        <v>17200</v>
      </c>
      <c r="J207" s="3" t="s">
        <v>1</v>
      </c>
      <c r="K207" s="3" t="s">
        <v>1</v>
      </c>
      <c r="L207" s="3" t="s">
        <v>1</v>
      </c>
      <c r="M207" s="5">
        <v>7577.5</v>
      </c>
      <c r="N207" s="5">
        <v>0</v>
      </c>
      <c r="O207" t="str">
        <f t="shared" si="35"/>
        <v>NIFTY</v>
      </c>
      <c r="P207" t="str">
        <f>IF(SEARCH("NIFTY",O207),RIGHT(A207,7),0)</f>
        <v>18750PE</v>
      </c>
      <c r="S207">
        <v>-0.18831521739130436</v>
      </c>
    </row>
    <row r="208" spans="1:19" x14ac:dyDescent="0.3">
      <c r="A208" s="1" t="s">
        <v>207</v>
      </c>
      <c r="B208" s="2">
        <v>45141</v>
      </c>
      <c r="C208" s="3">
        <v>750</v>
      </c>
      <c r="D208" s="3">
        <v>9.7799999999999994</v>
      </c>
      <c r="E208" s="3">
        <v>7335</v>
      </c>
      <c r="F208" s="3">
        <v>750</v>
      </c>
      <c r="G208" s="3">
        <v>8.3000000000000007</v>
      </c>
      <c r="H208" s="3">
        <f t="shared" si="34"/>
        <v>-1.4799999999999986</v>
      </c>
      <c r="I208" s="3">
        <v>6225</v>
      </c>
      <c r="J208" s="3" t="s">
        <v>1</v>
      </c>
      <c r="K208" s="3" t="s">
        <v>1</v>
      </c>
      <c r="L208" s="3" t="s">
        <v>1</v>
      </c>
      <c r="M208" s="4">
        <v>-1110</v>
      </c>
      <c r="N208" s="5">
        <v>0</v>
      </c>
      <c r="O208" t="str">
        <f t="shared" si="35"/>
        <v>BANKNIFTY</v>
      </c>
      <c r="P208" t="str">
        <f>IF(SEARCH("NIFTY",O208),RIGHT(A208,7),0)</f>
        <v>43000PE</v>
      </c>
      <c r="Q208">
        <f>M208/C208</f>
        <v>-1.48</v>
      </c>
      <c r="S208">
        <v>-0.185</v>
      </c>
    </row>
    <row r="209" spans="1:19" hidden="1" x14ac:dyDescent="0.3">
      <c r="A209" s="1" t="s">
        <v>208</v>
      </c>
      <c r="B209" s="2">
        <v>45043</v>
      </c>
      <c r="C209" s="3">
        <v>1500</v>
      </c>
      <c r="D209" s="3">
        <v>0.73</v>
      </c>
      <c r="E209" s="3">
        <v>1100</v>
      </c>
      <c r="F209" s="3">
        <v>1500</v>
      </c>
      <c r="G209" s="3">
        <v>0.55000000000000004</v>
      </c>
      <c r="H209" s="3">
        <f t="shared" si="34"/>
        <v>-0.17999999999999994</v>
      </c>
      <c r="I209" s="3">
        <v>825</v>
      </c>
      <c r="J209" s="3" t="s">
        <v>1</v>
      </c>
      <c r="K209" s="3" t="s">
        <v>1</v>
      </c>
      <c r="L209" s="3" t="s">
        <v>1</v>
      </c>
      <c r="M209" s="4">
        <v>-275</v>
      </c>
      <c r="N209" s="5">
        <v>0</v>
      </c>
      <c r="O209" t="str">
        <f t="shared" si="35"/>
        <v>NIFTY</v>
      </c>
      <c r="P209" t="str">
        <f>IF(SEARCH("NIFTY",O209),RIGHT(A209,7),0)</f>
        <v>18100CE</v>
      </c>
      <c r="S209">
        <v>-0.18277777777777779</v>
      </c>
    </row>
    <row r="210" spans="1:19" hidden="1" x14ac:dyDescent="0.3">
      <c r="A210" s="1" t="s">
        <v>209</v>
      </c>
      <c r="B210" s="2">
        <v>45057</v>
      </c>
      <c r="C210" s="3">
        <v>2500</v>
      </c>
      <c r="D210" s="3">
        <v>1.75</v>
      </c>
      <c r="E210" s="3">
        <v>4375</v>
      </c>
      <c r="F210" s="3">
        <v>2500</v>
      </c>
      <c r="G210" s="3">
        <v>1.2</v>
      </c>
      <c r="H210" s="3">
        <f t="shared" si="34"/>
        <v>-0.55000000000000004</v>
      </c>
      <c r="I210" s="3">
        <v>3000</v>
      </c>
      <c r="J210" s="3" t="s">
        <v>1</v>
      </c>
      <c r="K210" s="3" t="s">
        <v>1</v>
      </c>
      <c r="L210" s="3" t="s">
        <v>1</v>
      </c>
      <c r="M210" s="4">
        <v>-1375</v>
      </c>
      <c r="N210" s="5">
        <v>0</v>
      </c>
      <c r="O210" t="str">
        <f t="shared" si="35"/>
        <v>NIFTY</v>
      </c>
      <c r="P210" t="str">
        <f>IF(SEARCH("NIFTY",O210),RIGHT(A210,7),0)</f>
        <v>18800CE</v>
      </c>
      <c r="S210">
        <v>-0.16388888888888889</v>
      </c>
    </row>
    <row r="211" spans="1:19" x14ac:dyDescent="0.3">
      <c r="A211" s="1" t="s">
        <v>210</v>
      </c>
      <c r="B211" s="2">
        <v>45099</v>
      </c>
      <c r="C211" s="3">
        <v>3000</v>
      </c>
      <c r="D211" s="3">
        <v>42.75</v>
      </c>
      <c r="E211" s="3">
        <v>128253.75</v>
      </c>
      <c r="F211" s="3">
        <v>3000</v>
      </c>
      <c r="G211" s="3">
        <v>39.07</v>
      </c>
      <c r="H211" s="3">
        <f t="shared" si="34"/>
        <v>-3.6799999999999997</v>
      </c>
      <c r="I211" s="3">
        <v>117213.75</v>
      </c>
      <c r="J211" s="3" t="s">
        <v>1</v>
      </c>
      <c r="K211" s="3" t="s">
        <v>1</v>
      </c>
      <c r="L211" s="3" t="s">
        <v>1</v>
      </c>
      <c r="M211" s="4">
        <v>-11040</v>
      </c>
      <c r="N211" s="5">
        <v>0</v>
      </c>
      <c r="O211" t="str">
        <f t="shared" si="35"/>
        <v>BANKNIFTY</v>
      </c>
      <c r="P211" t="str">
        <f>IF(SEARCH("NIFTY",O211),RIGHT(A211,7),0)</f>
        <v>44100CE</v>
      </c>
      <c r="Q211">
        <f t="shared" ref="Q211:Q214" si="38">M211/C211</f>
        <v>-3.68</v>
      </c>
      <c r="S211">
        <v>-0.15657894736842104</v>
      </c>
    </row>
    <row r="212" spans="1:19" x14ac:dyDescent="0.3">
      <c r="A212" s="1" t="s">
        <v>211</v>
      </c>
      <c r="B212" s="2">
        <v>45036</v>
      </c>
      <c r="C212" s="3">
        <v>2000</v>
      </c>
      <c r="D212" s="3">
        <v>1.88</v>
      </c>
      <c r="E212" s="3">
        <v>3755</v>
      </c>
      <c r="F212" s="3">
        <v>2000</v>
      </c>
      <c r="G212" s="3">
        <v>0.25</v>
      </c>
      <c r="H212" s="3">
        <f t="shared" si="34"/>
        <v>-1.63</v>
      </c>
      <c r="I212" s="3">
        <v>500</v>
      </c>
      <c r="J212" s="3" t="s">
        <v>1</v>
      </c>
      <c r="K212" s="3" t="s">
        <v>1</v>
      </c>
      <c r="L212" s="3" t="s">
        <v>1</v>
      </c>
      <c r="M212" s="4">
        <v>-3255</v>
      </c>
      <c r="N212" s="5">
        <v>0</v>
      </c>
      <c r="O212" t="str">
        <f t="shared" si="35"/>
        <v>BANKNIFTY</v>
      </c>
      <c r="P212" t="str">
        <f>IF(SEARCH("NIFTY",O212),RIGHT(A212,7),0)</f>
        <v>41000PE</v>
      </c>
      <c r="Q212">
        <f t="shared" si="38"/>
        <v>-1.6274999999999999</v>
      </c>
      <c r="S212">
        <v>-0.15634328358208954</v>
      </c>
    </row>
    <row r="213" spans="1:19" x14ac:dyDescent="0.3">
      <c r="A213" s="1" t="s">
        <v>212</v>
      </c>
      <c r="B213" s="2">
        <v>45085</v>
      </c>
      <c r="C213" s="3">
        <v>800</v>
      </c>
      <c r="D213" s="3">
        <v>11.33</v>
      </c>
      <c r="E213" s="3">
        <v>9060</v>
      </c>
      <c r="F213" s="3">
        <v>800</v>
      </c>
      <c r="G213" s="3">
        <v>10.119999999999999</v>
      </c>
      <c r="H213" s="3">
        <f t="shared" si="34"/>
        <v>-1.2100000000000009</v>
      </c>
      <c r="I213" s="3">
        <v>8096.25</v>
      </c>
      <c r="J213" s="3" t="s">
        <v>1</v>
      </c>
      <c r="K213" s="3" t="s">
        <v>1</v>
      </c>
      <c r="L213" s="3" t="s">
        <v>1</v>
      </c>
      <c r="M213" s="4">
        <v>-963.75</v>
      </c>
      <c r="N213" s="5">
        <v>0</v>
      </c>
      <c r="O213" t="str">
        <f t="shared" si="35"/>
        <v>BANKNIFTY</v>
      </c>
      <c r="P213" t="str">
        <f>IF(SEARCH("NIFTY",O213),RIGHT(A213,7),0)</f>
        <v>43000PE</v>
      </c>
      <c r="Q213">
        <f t="shared" si="38"/>
        <v>-1.2046874999999999</v>
      </c>
      <c r="S213">
        <v>-0.15</v>
      </c>
    </row>
    <row r="214" spans="1:19" x14ac:dyDescent="0.3">
      <c r="A214" s="1" t="s">
        <v>213</v>
      </c>
      <c r="B214" s="2">
        <v>45141</v>
      </c>
      <c r="C214" s="3">
        <v>600</v>
      </c>
      <c r="D214" s="3">
        <v>42.05</v>
      </c>
      <c r="E214" s="3">
        <v>25230</v>
      </c>
      <c r="F214" s="3">
        <v>600</v>
      </c>
      <c r="G214" s="3">
        <v>43.31</v>
      </c>
      <c r="H214" s="3">
        <f t="shared" si="34"/>
        <v>1.2600000000000051</v>
      </c>
      <c r="I214" s="3">
        <v>25987.5</v>
      </c>
      <c r="J214" s="3" t="s">
        <v>1</v>
      </c>
      <c r="K214" s="3" t="s">
        <v>1</v>
      </c>
      <c r="L214" s="3" t="s">
        <v>1</v>
      </c>
      <c r="M214" s="5">
        <v>757.5</v>
      </c>
      <c r="N214" s="5">
        <v>0</v>
      </c>
      <c r="O214" t="str">
        <f t="shared" si="35"/>
        <v>BANKNIFTY</v>
      </c>
      <c r="P214" t="str">
        <f>IF(SEARCH("NIFTY",O214),RIGHT(A214,7),0)</f>
        <v>46500CE</v>
      </c>
      <c r="Q214">
        <f t="shared" si="38"/>
        <v>1.2625</v>
      </c>
      <c r="S214">
        <v>-0.14899999999999999</v>
      </c>
    </row>
    <row r="215" spans="1:19" hidden="1" x14ac:dyDescent="0.3">
      <c r="A215" s="1" t="s">
        <v>214</v>
      </c>
      <c r="B215" s="2">
        <v>45055</v>
      </c>
      <c r="C215" s="3">
        <v>3200</v>
      </c>
      <c r="D215" s="3">
        <v>2.65</v>
      </c>
      <c r="E215" s="3">
        <v>8480</v>
      </c>
      <c r="F215" s="3">
        <v>3200</v>
      </c>
      <c r="G215" s="3">
        <v>5.55</v>
      </c>
      <c r="H215" s="3">
        <f t="shared" si="34"/>
        <v>2.9</v>
      </c>
      <c r="I215" s="3">
        <v>17760</v>
      </c>
      <c r="J215" s="3" t="s">
        <v>1</v>
      </c>
      <c r="K215" s="3" t="s">
        <v>1</v>
      </c>
      <c r="L215" s="3" t="s">
        <v>1</v>
      </c>
      <c r="M215" s="5">
        <v>9280</v>
      </c>
      <c r="N215" s="5">
        <v>0</v>
      </c>
      <c r="O215" t="str">
        <f t="shared" si="35"/>
        <v>FINNIFTY</v>
      </c>
      <c r="P215" t="str">
        <f>IF(SEARCH("NIFTY",O215),RIGHT(A215,7),0)</f>
        <v>19250PE</v>
      </c>
      <c r="S215">
        <v>-0.1484375</v>
      </c>
    </row>
    <row r="216" spans="1:19" x14ac:dyDescent="0.3">
      <c r="A216" s="1" t="s">
        <v>215</v>
      </c>
      <c r="B216" s="2">
        <v>45113</v>
      </c>
      <c r="C216" s="3">
        <v>2000</v>
      </c>
      <c r="D216" s="3">
        <v>5.13</v>
      </c>
      <c r="E216" s="3">
        <v>10250</v>
      </c>
      <c r="F216" s="3">
        <v>2000</v>
      </c>
      <c r="G216" s="3">
        <v>6.15</v>
      </c>
      <c r="H216" s="3">
        <f t="shared" si="34"/>
        <v>1.0200000000000005</v>
      </c>
      <c r="I216" s="3">
        <v>12300</v>
      </c>
      <c r="J216" s="3" t="s">
        <v>1</v>
      </c>
      <c r="K216" s="3" t="s">
        <v>1</v>
      </c>
      <c r="L216" s="3" t="s">
        <v>1</v>
      </c>
      <c r="M216" s="5">
        <v>2050</v>
      </c>
      <c r="N216" s="5">
        <v>0</v>
      </c>
      <c r="O216" t="str">
        <f t="shared" si="35"/>
        <v>BANKNIFTY</v>
      </c>
      <c r="P216" t="str">
        <f>IF(SEARCH("NIFTY",O216),RIGHT(A216,7),0)</f>
        <v>46500CE</v>
      </c>
      <c r="Q216">
        <f t="shared" ref="Q216:Q222" si="39">M216/C216</f>
        <v>1.0249999999999999</v>
      </c>
      <c r="S216">
        <v>-0.11346153846153846</v>
      </c>
    </row>
    <row r="217" spans="1:19" x14ac:dyDescent="0.3">
      <c r="A217" s="1" t="s">
        <v>216</v>
      </c>
      <c r="B217" s="2">
        <v>45113</v>
      </c>
      <c r="C217" s="3">
        <v>1475</v>
      </c>
      <c r="D217" s="3">
        <v>35.43</v>
      </c>
      <c r="E217" s="3">
        <v>52266.25</v>
      </c>
      <c r="F217" s="3">
        <v>1475</v>
      </c>
      <c r="G217" s="3">
        <v>37.86</v>
      </c>
      <c r="H217" s="3">
        <f t="shared" si="34"/>
        <v>2.4299999999999997</v>
      </c>
      <c r="I217" s="3">
        <v>55840</v>
      </c>
      <c r="J217" s="3" t="s">
        <v>1</v>
      </c>
      <c r="K217" s="3" t="s">
        <v>1</v>
      </c>
      <c r="L217" s="3" t="s">
        <v>1</v>
      </c>
      <c r="M217" s="5">
        <v>3573.75</v>
      </c>
      <c r="N217" s="5">
        <v>0</v>
      </c>
      <c r="O217" t="str">
        <f t="shared" si="35"/>
        <v>BANKNIFTY</v>
      </c>
      <c r="P217" t="str">
        <f>IF(SEARCH("NIFTY",O217),RIGHT(A217,7),0)</f>
        <v>45600CE</v>
      </c>
      <c r="Q217">
        <f t="shared" si="39"/>
        <v>2.4228813559322036</v>
      </c>
      <c r="S217">
        <v>-0.10993589743589743</v>
      </c>
    </row>
    <row r="218" spans="1:19" x14ac:dyDescent="0.3">
      <c r="A218" s="1" t="s">
        <v>217</v>
      </c>
      <c r="B218" s="2">
        <v>45155</v>
      </c>
      <c r="C218" s="3">
        <v>150</v>
      </c>
      <c r="D218" s="3">
        <v>177</v>
      </c>
      <c r="E218" s="3">
        <v>26550</v>
      </c>
      <c r="F218" s="3">
        <v>150</v>
      </c>
      <c r="G218" s="3">
        <v>151.9</v>
      </c>
      <c r="H218" s="3">
        <f t="shared" si="34"/>
        <v>-25.099999999999994</v>
      </c>
      <c r="I218" s="3">
        <v>22785</v>
      </c>
      <c r="J218" s="3" t="s">
        <v>1</v>
      </c>
      <c r="K218" s="3" t="s">
        <v>1</v>
      </c>
      <c r="L218" s="3" t="s">
        <v>1</v>
      </c>
      <c r="M218" s="4">
        <v>-3765</v>
      </c>
      <c r="N218" s="5">
        <v>0</v>
      </c>
      <c r="O218" t="str">
        <f t="shared" si="35"/>
        <v>BANKNIFTY</v>
      </c>
      <c r="P218" t="str">
        <f>IF(SEARCH("NIFTY",O218),RIGHT(A218,7),0)</f>
        <v>44100CE</v>
      </c>
      <c r="Q218">
        <f t="shared" si="39"/>
        <v>-25.1</v>
      </c>
      <c r="S218">
        <v>-0.1</v>
      </c>
    </row>
    <row r="219" spans="1:19" x14ac:dyDescent="0.3">
      <c r="A219" s="1" t="s">
        <v>218</v>
      </c>
      <c r="B219" s="2">
        <v>45169</v>
      </c>
      <c r="C219" s="3">
        <v>3510</v>
      </c>
      <c r="D219" s="3">
        <v>35.049999999999997</v>
      </c>
      <c r="E219" s="3">
        <v>123015.75</v>
      </c>
      <c r="F219" s="3">
        <v>3510</v>
      </c>
      <c r="G219" s="3">
        <v>38.01</v>
      </c>
      <c r="H219" s="3">
        <f t="shared" si="34"/>
        <v>2.9600000000000009</v>
      </c>
      <c r="I219" s="3">
        <v>133423.5</v>
      </c>
      <c r="J219" s="3" t="s">
        <v>1</v>
      </c>
      <c r="K219" s="3" t="s">
        <v>1</v>
      </c>
      <c r="L219" s="3" t="s">
        <v>1</v>
      </c>
      <c r="M219" s="5">
        <v>10407.75</v>
      </c>
      <c r="N219" s="5">
        <v>0</v>
      </c>
      <c r="O219" t="str">
        <f t="shared" si="35"/>
        <v>BANKNIFTY</v>
      </c>
      <c r="P219" t="str">
        <f>IF(SEARCH("NIFTY",O219),RIGHT(A219,7),0)</f>
        <v>44400CE</v>
      </c>
      <c r="Q219">
        <f t="shared" si="39"/>
        <v>2.9651709401709403</v>
      </c>
      <c r="S219">
        <v>-9.4117647058823528E-2</v>
      </c>
    </row>
    <row r="220" spans="1:19" x14ac:dyDescent="0.3">
      <c r="A220" s="1" t="s">
        <v>219</v>
      </c>
      <c r="B220" s="2">
        <v>45085</v>
      </c>
      <c r="C220" s="3">
        <v>700</v>
      </c>
      <c r="D220" s="3">
        <v>30.56</v>
      </c>
      <c r="E220" s="3">
        <v>21390</v>
      </c>
      <c r="F220" s="3">
        <v>700</v>
      </c>
      <c r="G220" s="3">
        <v>27.11</v>
      </c>
      <c r="H220" s="3">
        <f t="shared" si="34"/>
        <v>-3.4499999999999993</v>
      </c>
      <c r="I220" s="3">
        <v>18975</v>
      </c>
      <c r="J220" s="3" t="s">
        <v>1</v>
      </c>
      <c r="K220" s="3" t="s">
        <v>1</v>
      </c>
      <c r="L220" s="3" t="s">
        <v>1</v>
      </c>
      <c r="M220" s="4">
        <v>-2415</v>
      </c>
      <c r="N220" s="5">
        <v>0</v>
      </c>
      <c r="O220" t="str">
        <f t="shared" si="35"/>
        <v>BANKNIFTY</v>
      </c>
      <c r="P220" t="str">
        <f>IF(SEARCH("NIFTY",O220),RIGHT(A220,7),0)</f>
        <v>44200PE</v>
      </c>
      <c r="Q220">
        <f t="shared" si="39"/>
        <v>-3.45</v>
      </c>
      <c r="S220">
        <v>-8.0681818181818188E-2</v>
      </c>
    </row>
    <row r="221" spans="1:19" x14ac:dyDescent="0.3">
      <c r="A221" s="1" t="s">
        <v>220</v>
      </c>
      <c r="B221" s="2">
        <v>45141</v>
      </c>
      <c r="C221" s="3">
        <v>750</v>
      </c>
      <c r="D221" s="3">
        <v>5.15</v>
      </c>
      <c r="E221" s="3">
        <v>3862.5</v>
      </c>
      <c r="F221" s="3">
        <v>750</v>
      </c>
      <c r="G221" s="3">
        <v>5</v>
      </c>
      <c r="H221" s="3">
        <f t="shared" si="34"/>
        <v>-0.15000000000000036</v>
      </c>
      <c r="I221" s="3">
        <v>3750.75</v>
      </c>
      <c r="J221" s="3" t="s">
        <v>1</v>
      </c>
      <c r="K221" s="3" t="s">
        <v>1</v>
      </c>
      <c r="L221" s="3" t="s">
        <v>1</v>
      </c>
      <c r="M221" s="4">
        <v>-111.75</v>
      </c>
      <c r="N221" s="5">
        <v>0</v>
      </c>
      <c r="O221" t="str">
        <f t="shared" si="35"/>
        <v>BANKNIFTY</v>
      </c>
      <c r="P221" t="str">
        <f>IF(SEARCH("NIFTY",O221),RIGHT(A221,7),0)</f>
        <v>42500PE</v>
      </c>
      <c r="Q221">
        <f t="shared" si="39"/>
        <v>-0.14899999999999999</v>
      </c>
      <c r="S221">
        <v>-0.05</v>
      </c>
    </row>
    <row r="222" spans="1:19" x14ac:dyDescent="0.3">
      <c r="A222" s="1" t="s">
        <v>221</v>
      </c>
      <c r="B222" s="2">
        <v>45057</v>
      </c>
      <c r="C222" s="3">
        <v>1600</v>
      </c>
      <c r="D222" s="3">
        <v>43.69</v>
      </c>
      <c r="E222" s="3">
        <v>69911.25</v>
      </c>
      <c r="F222" s="3">
        <v>1600</v>
      </c>
      <c r="G222" s="3">
        <v>42.68</v>
      </c>
      <c r="H222" s="3">
        <f t="shared" si="34"/>
        <v>-1.009999999999998</v>
      </c>
      <c r="I222" s="3">
        <v>68291.25</v>
      </c>
      <c r="J222" s="3" t="s">
        <v>1</v>
      </c>
      <c r="K222" s="3" t="s">
        <v>1</v>
      </c>
      <c r="L222" s="3" t="s">
        <v>1</v>
      </c>
      <c r="M222" s="4">
        <v>-1620</v>
      </c>
      <c r="N222" s="5">
        <v>0</v>
      </c>
      <c r="O222" t="str">
        <f t="shared" si="35"/>
        <v>BANKNIFTY</v>
      </c>
      <c r="P222" t="str">
        <f>IF(SEARCH("NIFTY",O222),RIGHT(A222,7),0)</f>
        <v>42700PE</v>
      </c>
      <c r="Q222">
        <f t="shared" si="39"/>
        <v>-1.0125</v>
      </c>
      <c r="S222">
        <v>1.328125E-2</v>
      </c>
    </row>
    <row r="223" spans="1:19" hidden="1" x14ac:dyDescent="0.3">
      <c r="A223" s="1" t="s">
        <v>222</v>
      </c>
      <c r="B223" s="2">
        <v>45134</v>
      </c>
      <c r="C223" s="3">
        <v>540000</v>
      </c>
      <c r="D223" s="3">
        <v>0.28999999999999998</v>
      </c>
      <c r="E223" s="3">
        <v>154500</v>
      </c>
      <c r="F223" s="3">
        <v>540000</v>
      </c>
      <c r="G223" s="3">
        <v>0.05</v>
      </c>
      <c r="H223" s="3">
        <f t="shared" si="34"/>
        <v>-0.24</v>
      </c>
      <c r="I223" s="3">
        <v>27000</v>
      </c>
      <c r="J223" s="3" t="s">
        <v>1</v>
      </c>
      <c r="K223" s="3" t="s">
        <v>1</v>
      </c>
      <c r="L223" s="3" t="s">
        <v>1</v>
      </c>
      <c r="M223" s="4">
        <v>-127500</v>
      </c>
      <c r="N223" s="5">
        <v>0</v>
      </c>
      <c r="O223" t="e">
        <f t="shared" si="35"/>
        <v>#VALUE!</v>
      </c>
      <c r="P223" t="e">
        <f>IF(SEARCH("NIFTY",O223),RIGHT(A223,7),0)</f>
        <v>#VALUE!</v>
      </c>
      <c r="S223">
        <v>7.5735294117647053E-2</v>
      </c>
    </row>
    <row r="224" spans="1:19" x14ac:dyDescent="0.3">
      <c r="A224" s="1" t="s">
        <v>223</v>
      </c>
      <c r="B224" s="2">
        <v>45057</v>
      </c>
      <c r="C224" s="3">
        <v>700</v>
      </c>
      <c r="D224" s="3">
        <v>21.3</v>
      </c>
      <c r="E224" s="3">
        <v>14910</v>
      </c>
      <c r="F224" s="3">
        <v>700</v>
      </c>
      <c r="G224" s="3">
        <v>30</v>
      </c>
      <c r="H224" s="3">
        <f t="shared" si="34"/>
        <v>8.6999999999999993</v>
      </c>
      <c r="I224" s="3">
        <v>21000</v>
      </c>
      <c r="J224" s="3" t="s">
        <v>1</v>
      </c>
      <c r="K224" s="3" t="s">
        <v>1</v>
      </c>
      <c r="L224" s="3" t="s">
        <v>1</v>
      </c>
      <c r="M224" s="5">
        <v>6090</v>
      </c>
      <c r="N224" s="5">
        <v>0</v>
      </c>
      <c r="O224" t="str">
        <f t="shared" si="35"/>
        <v>BANKNIFTY</v>
      </c>
      <c r="P224" t="str">
        <f>IF(SEARCH("NIFTY",O224),RIGHT(A224,7),0)</f>
        <v>44400CE</v>
      </c>
      <c r="Q224">
        <f>M224/C224</f>
        <v>8.6999999999999993</v>
      </c>
      <c r="S224">
        <v>0.10155440414507771</v>
      </c>
    </row>
    <row r="225" spans="1:19" hidden="1" x14ac:dyDescent="0.3">
      <c r="A225" s="1" t="s">
        <v>224</v>
      </c>
      <c r="B225" s="2">
        <v>45132</v>
      </c>
      <c r="C225" s="3">
        <v>400</v>
      </c>
      <c r="D225" s="3">
        <v>1.9</v>
      </c>
      <c r="E225" s="3">
        <v>760</v>
      </c>
      <c r="F225" s="3">
        <v>400</v>
      </c>
      <c r="G225" s="3">
        <v>1.8</v>
      </c>
      <c r="H225" s="3">
        <f t="shared" si="34"/>
        <v>-9.9999999999999867E-2</v>
      </c>
      <c r="I225" s="3">
        <v>720</v>
      </c>
      <c r="J225" s="3" t="s">
        <v>1</v>
      </c>
      <c r="K225" s="3" t="s">
        <v>1</v>
      </c>
      <c r="L225" s="3" t="s">
        <v>1</v>
      </c>
      <c r="M225" s="4">
        <v>-40</v>
      </c>
      <c r="N225" s="5">
        <v>0</v>
      </c>
      <c r="O225" t="str">
        <f t="shared" si="35"/>
        <v>FINNIFTY</v>
      </c>
      <c r="P225" t="str">
        <f>IF(SEARCH("NIFTY",O225),RIGHT(A225,7),0)</f>
        <v>20900CE</v>
      </c>
      <c r="S225">
        <v>0.125</v>
      </c>
    </row>
    <row r="226" spans="1:19" hidden="1" x14ac:dyDescent="0.3">
      <c r="A226" s="1" t="s">
        <v>225</v>
      </c>
      <c r="B226" s="2">
        <v>45071</v>
      </c>
      <c r="C226" s="3">
        <v>4400</v>
      </c>
      <c r="D226" s="3">
        <v>55.25</v>
      </c>
      <c r="E226" s="3">
        <v>243100</v>
      </c>
      <c r="F226" s="3">
        <v>4400</v>
      </c>
      <c r="G226" s="3">
        <v>58.7</v>
      </c>
      <c r="H226" s="3">
        <f t="shared" si="34"/>
        <v>3.4500000000000028</v>
      </c>
      <c r="I226" s="3">
        <v>258280</v>
      </c>
      <c r="J226" s="3" t="s">
        <v>1</v>
      </c>
      <c r="K226" s="3" t="s">
        <v>1</v>
      </c>
      <c r="L226" s="3" t="s">
        <v>1</v>
      </c>
      <c r="M226" s="5">
        <v>15180</v>
      </c>
      <c r="N226" s="5">
        <v>0</v>
      </c>
      <c r="O226" t="e">
        <f t="shared" si="35"/>
        <v>#VALUE!</v>
      </c>
      <c r="P226" t="e">
        <f>IF(SEARCH("NIFTY",O226),RIGHT(A226,7),0)</f>
        <v>#VALUE!</v>
      </c>
      <c r="S226">
        <v>0.15</v>
      </c>
    </row>
    <row r="227" spans="1:19" x14ac:dyDescent="0.3">
      <c r="A227" s="1" t="s">
        <v>226</v>
      </c>
      <c r="B227" s="2">
        <v>45085</v>
      </c>
      <c r="C227" s="3">
        <v>3250</v>
      </c>
      <c r="D227" s="3">
        <v>1.73</v>
      </c>
      <c r="E227" s="3">
        <v>5632.5</v>
      </c>
      <c r="F227" s="3">
        <v>3250</v>
      </c>
      <c r="G227" s="3">
        <v>1.2</v>
      </c>
      <c r="H227" s="3">
        <f t="shared" si="34"/>
        <v>-0.53</v>
      </c>
      <c r="I227" s="3">
        <v>3900</v>
      </c>
      <c r="J227" s="3" t="s">
        <v>1</v>
      </c>
      <c r="K227" s="3" t="s">
        <v>1</v>
      </c>
      <c r="L227" s="3" t="s">
        <v>1</v>
      </c>
      <c r="M227" s="4">
        <v>-1732.5</v>
      </c>
      <c r="N227" s="5">
        <v>0</v>
      </c>
      <c r="O227" t="str">
        <f t="shared" si="35"/>
        <v>BANKNIFTY</v>
      </c>
      <c r="P227" t="str">
        <f>IF(SEARCH("NIFTY",O227),RIGHT(A227,7),0)</f>
        <v>45400CE</v>
      </c>
      <c r="Q227">
        <f t="shared" ref="Q227:Q229" si="40">M227/C227</f>
        <v>-0.53307692307692311</v>
      </c>
      <c r="S227">
        <v>0.2</v>
      </c>
    </row>
    <row r="228" spans="1:19" x14ac:dyDescent="0.3">
      <c r="A228" s="1" t="s">
        <v>227</v>
      </c>
      <c r="B228" s="2">
        <v>45120</v>
      </c>
      <c r="C228" s="3">
        <v>3100</v>
      </c>
      <c r="D228" s="3">
        <v>73.430000000000007</v>
      </c>
      <c r="E228" s="3">
        <v>227622.5</v>
      </c>
      <c r="F228" s="3">
        <v>3100</v>
      </c>
      <c r="G228" s="3">
        <v>74.819999999999993</v>
      </c>
      <c r="H228" s="3">
        <f t="shared" si="34"/>
        <v>1.3899999999999864</v>
      </c>
      <c r="I228" s="3">
        <v>231933.75</v>
      </c>
      <c r="J228" s="3" t="s">
        <v>1</v>
      </c>
      <c r="K228" s="3" t="s">
        <v>1</v>
      </c>
      <c r="L228" s="3" t="s">
        <v>1</v>
      </c>
      <c r="M228" s="5">
        <v>4311.25</v>
      </c>
      <c r="N228" s="5">
        <v>0</v>
      </c>
      <c r="O228" t="str">
        <f t="shared" si="35"/>
        <v>BANKNIFTY</v>
      </c>
      <c r="P228" t="str">
        <f>IF(SEARCH("NIFTY",O228),RIGHT(A228,7),0)</f>
        <v>44700PE</v>
      </c>
      <c r="Q228">
        <f t="shared" si="40"/>
        <v>1.3907258064516128</v>
      </c>
      <c r="S228">
        <v>0.20563063063063064</v>
      </c>
    </row>
    <row r="229" spans="1:19" x14ac:dyDescent="0.3">
      <c r="A229" s="1" t="s">
        <v>228</v>
      </c>
      <c r="B229" s="2">
        <v>45036</v>
      </c>
      <c r="C229" s="3">
        <v>450</v>
      </c>
      <c r="D229" s="3">
        <v>19.95</v>
      </c>
      <c r="E229" s="3">
        <v>8977.5</v>
      </c>
      <c r="F229" s="3">
        <v>450</v>
      </c>
      <c r="G229" s="3">
        <v>23.9</v>
      </c>
      <c r="H229" s="3">
        <f t="shared" si="34"/>
        <v>3.9499999999999993</v>
      </c>
      <c r="I229" s="3">
        <v>10755</v>
      </c>
      <c r="J229" s="3" t="s">
        <v>1</v>
      </c>
      <c r="K229" s="3" t="s">
        <v>1</v>
      </c>
      <c r="L229" s="3" t="s">
        <v>1</v>
      </c>
      <c r="M229" s="5">
        <v>1777.5</v>
      </c>
      <c r="N229" s="5">
        <v>0</v>
      </c>
      <c r="O229" t="str">
        <f t="shared" si="35"/>
        <v>BANKNIFTY</v>
      </c>
      <c r="P229" t="str">
        <f>IF(SEARCH("NIFTY",O229),RIGHT(A229,7),0)</f>
        <v>43100CE</v>
      </c>
      <c r="Q229">
        <f t="shared" si="40"/>
        <v>3.95</v>
      </c>
      <c r="S229">
        <v>0.2204391891891892</v>
      </c>
    </row>
    <row r="230" spans="1:19" hidden="1" x14ac:dyDescent="0.3">
      <c r="A230" s="1" t="s">
        <v>229</v>
      </c>
      <c r="B230" s="2">
        <v>45036</v>
      </c>
      <c r="C230" s="3">
        <v>2500</v>
      </c>
      <c r="D230" s="3">
        <v>10.8</v>
      </c>
      <c r="E230" s="3">
        <v>27000</v>
      </c>
      <c r="F230" s="3">
        <v>2500</v>
      </c>
      <c r="G230" s="3">
        <v>9.2100000000000009</v>
      </c>
      <c r="H230" s="3">
        <f t="shared" si="34"/>
        <v>-1.5899999999999999</v>
      </c>
      <c r="I230" s="3">
        <v>23035</v>
      </c>
      <c r="J230" s="3" t="s">
        <v>1</v>
      </c>
      <c r="K230" s="3" t="s">
        <v>1</v>
      </c>
      <c r="L230" s="3" t="s">
        <v>1</v>
      </c>
      <c r="M230" s="4">
        <v>-3965</v>
      </c>
      <c r="N230" s="5">
        <v>0</v>
      </c>
      <c r="O230" t="str">
        <f t="shared" si="35"/>
        <v>NIFTY</v>
      </c>
      <c r="P230" t="str">
        <f>IF(SEARCH("NIFTY",O230),RIGHT(A230,7),0)</f>
        <v>17600PE</v>
      </c>
      <c r="S230">
        <v>0.23898071625344353</v>
      </c>
    </row>
    <row r="231" spans="1:19" x14ac:dyDescent="0.3">
      <c r="A231" s="1" t="s">
        <v>230</v>
      </c>
      <c r="B231" s="2">
        <v>45078</v>
      </c>
      <c r="C231" s="3">
        <v>700</v>
      </c>
      <c r="D231" s="3">
        <v>33.299999999999997</v>
      </c>
      <c r="E231" s="3">
        <v>23310</v>
      </c>
      <c r="F231" s="3">
        <v>700</v>
      </c>
      <c r="G231" s="3">
        <v>35.46</v>
      </c>
      <c r="H231" s="3">
        <f t="shared" si="34"/>
        <v>2.1600000000000037</v>
      </c>
      <c r="I231" s="3">
        <v>24821.25</v>
      </c>
      <c r="J231" s="3" t="s">
        <v>1</v>
      </c>
      <c r="K231" s="3" t="s">
        <v>1</v>
      </c>
      <c r="L231" s="3" t="s">
        <v>1</v>
      </c>
      <c r="M231" s="5">
        <v>1511.25</v>
      </c>
      <c r="N231" s="5">
        <v>0</v>
      </c>
      <c r="O231" t="str">
        <f t="shared" si="35"/>
        <v>BANKNIFTY</v>
      </c>
      <c r="P231" t="str">
        <f>IF(SEARCH("NIFTY",O231),RIGHT(A231,7),0)</f>
        <v>44400CE</v>
      </c>
      <c r="Q231">
        <f t="shared" ref="Q231:Q233" si="41">M231/C231</f>
        <v>2.1589285714285715</v>
      </c>
      <c r="S231">
        <v>0.25</v>
      </c>
    </row>
    <row r="232" spans="1:19" x14ac:dyDescent="0.3">
      <c r="A232" s="1" t="s">
        <v>231</v>
      </c>
      <c r="B232" s="2">
        <v>45057</v>
      </c>
      <c r="C232" s="3">
        <v>2600</v>
      </c>
      <c r="D232" s="3">
        <v>35.26</v>
      </c>
      <c r="E232" s="3">
        <v>91685</v>
      </c>
      <c r="F232" s="3">
        <v>2600</v>
      </c>
      <c r="G232" s="3">
        <v>37.74</v>
      </c>
      <c r="H232" s="3">
        <f t="shared" si="34"/>
        <v>2.480000000000004</v>
      </c>
      <c r="I232" s="3">
        <v>98131.25</v>
      </c>
      <c r="J232" s="3" t="s">
        <v>1</v>
      </c>
      <c r="K232" s="3" t="s">
        <v>1</v>
      </c>
      <c r="L232" s="3" t="s">
        <v>1</v>
      </c>
      <c r="M232" s="5">
        <v>6446.25</v>
      </c>
      <c r="N232" s="5">
        <v>0</v>
      </c>
      <c r="O232" t="str">
        <f t="shared" si="35"/>
        <v>BANKNIFTY</v>
      </c>
      <c r="P232" t="str">
        <f>IF(SEARCH("NIFTY",O232),RIGHT(A232,7),0)</f>
        <v>43700CE</v>
      </c>
      <c r="Q232">
        <f t="shared" si="41"/>
        <v>2.4793269230769233</v>
      </c>
      <c r="S232">
        <v>0.25277777777777777</v>
      </c>
    </row>
    <row r="233" spans="1:19" x14ac:dyDescent="0.3">
      <c r="A233" s="1" t="s">
        <v>232</v>
      </c>
      <c r="B233" s="2">
        <v>45078</v>
      </c>
      <c r="C233" s="3">
        <v>500</v>
      </c>
      <c r="D233" s="3">
        <v>27</v>
      </c>
      <c r="E233" s="3">
        <v>13500</v>
      </c>
      <c r="F233" s="3">
        <v>500</v>
      </c>
      <c r="G233" s="3">
        <v>33.119999999999997</v>
      </c>
      <c r="H233" s="3">
        <f t="shared" si="34"/>
        <v>6.1199999999999974</v>
      </c>
      <c r="I233" s="3">
        <v>16560</v>
      </c>
      <c r="J233" s="3" t="s">
        <v>1</v>
      </c>
      <c r="K233" s="3" t="s">
        <v>1</v>
      </c>
      <c r="L233" s="3" t="s">
        <v>1</v>
      </c>
      <c r="M233" s="5">
        <v>3060</v>
      </c>
      <c r="N233" s="5">
        <v>0</v>
      </c>
      <c r="O233" t="str">
        <f t="shared" si="35"/>
        <v>BANKNIFTY</v>
      </c>
      <c r="P233" t="str">
        <f>IF(SEARCH("NIFTY",O233),RIGHT(A233,7),0)</f>
        <v>42700PE</v>
      </c>
      <c r="Q233">
        <f t="shared" si="41"/>
        <v>6.12</v>
      </c>
      <c r="S233">
        <v>0.27400611620795107</v>
      </c>
    </row>
    <row r="234" spans="1:19" hidden="1" x14ac:dyDescent="0.3">
      <c r="A234" s="1" t="s">
        <v>233</v>
      </c>
      <c r="B234" s="2">
        <v>45160</v>
      </c>
      <c r="C234" s="3">
        <v>8400</v>
      </c>
      <c r="D234" s="3">
        <v>3.09</v>
      </c>
      <c r="E234" s="3">
        <v>25920</v>
      </c>
      <c r="F234" s="3">
        <v>8400</v>
      </c>
      <c r="G234" s="3">
        <v>7.09</v>
      </c>
      <c r="H234" s="3">
        <f t="shared" si="34"/>
        <v>4</v>
      </c>
      <c r="I234" s="3">
        <v>59580</v>
      </c>
      <c r="J234" s="3" t="s">
        <v>1</v>
      </c>
      <c r="K234" s="3" t="s">
        <v>1</v>
      </c>
      <c r="L234" s="3" t="s">
        <v>1</v>
      </c>
      <c r="M234" s="5">
        <v>33660</v>
      </c>
      <c r="N234" s="5">
        <v>0</v>
      </c>
      <c r="O234" t="str">
        <f t="shared" si="35"/>
        <v>FINNIFTY</v>
      </c>
      <c r="P234" t="str">
        <f>IF(SEARCH("NIFTY",O234),RIGHT(A234,7),0)</f>
        <v>19550PE</v>
      </c>
      <c r="S234">
        <v>0.33676470588235297</v>
      </c>
    </row>
    <row r="235" spans="1:19" hidden="1" x14ac:dyDescent="0.3">
      <c r="A235" s="1" t="s">
        <v>234</v>
      </c>
      <c r="B235" s="2">
        <v>45057</v>
      </c>
      <c r="C235" s="3">
        <v>5550</v>
      </c>
      <c r="D235" s="3">
        <v>41.82</v>
      </c>
      <c r="E235" s="3">
        <v>232100</v>
      </c>
      <c r="F235" s="3">
        <v>5550</v>
      </c>
      <c r="G235" s="3">
        <v>36.5</v>
      </c>
      <c r="H235" s="3">
        <f t="shared" si="34"/>
        <v>-5.32</v>
      </c>
      <c r="I235" s="3">
        <v>202570</v>
      </c>
      <c r="J235" s="3" t="s">
        <v>1</v>
      </c>
      <c r="K235" s="3" t="s">
        <v>1</v>
      </c>
      <c r="L235" s="3" t="s">
        <v>1</v>
      </c>
      <c r="M235" s="4">
        <v>-29530</v>
      </c>
      <c r="N235" s="5">
        <v>0</v>
      </c>
      <c r="O235" t="str">
        <f t="shared" si="35"/>
        <v>NIFTY</v>
      </c>
      <c r="P235" t="str">
        <f>IF(SEARCH("NIFTY",O235),RIGHT(A235,7),0)</f>
        <v>18300CE</v>
      </c>
      <c r="S235">
        <v>0.35</v>
      </c>
    </row>
    <row r="236" spans="1:19" x14ac:dyDescent="0.3">
      <c r="A236" s="1" t="s">
        <v>235</v>
      </c>
      <c r="B236" s="2">
        <v>45134</v>
      </c>
      <c r="C236" s="3">
        <v>840</v>
      </c>
      <c r="D236" s="3">
        <v>95.23</v>
      </c>
      <c r="E236" s="3">
        <v>79992.75</v>
      </c>
      <c r="F236" s="3">
        <v>840</v>
      </c>
      <c r="G236" s="3">
        <v>59.31</v>
      </c>
      <c r="H236" s="3">
        <f t="shared" si="34"/>
        <v>-35.92</v>
      </c>
      <c r="I236" s="3">
        <v>49821</v>
      </c>
      <c r="J236" s="3" t="s">
        <v>1</v>
      </c>
      <c r="K236" s="3" t="s">
        <v>1</v>
      </c>
      <c r="L236" s="3" t="s">
        <v>1</v>
      </c>
      <c r="M236" s="4">
        <v>-30171.75</v>
      </c>
      <c r="N236" s="5">
        <v>0</v>
      </c>
      <c r="O236" t="str">
        <f t="shared" si="35"/>
        <v>BANKNIFTY</v>
      </c>
      <c r="P236" t="str">
        <f>IF(SEARCH("NIFTY",O236),RIGHT(A236,7),0)</f>
        <v>45900PE</v>
      </c>
      <c r="Q236">
        <f>M236/C236</f>
        <v>-35.918750000000003</v>
      </c>
      <c r="S236">
        <v>0.35</v>
      </c>
    </row>
    <row r="237" spans="1:19" hidden="1" x14ac:dyDescent="0.3">
      <c r="A237" s="1" t="s">
        <v>236</v>
      </c>
      <c r="B237" s="2">
        <v>45162</v>
      </c>
      <c r="C237" s="3">
        <v>6750</v>
      </c>
      <c r="D237" s="3">
        <v>0.52</v>
      </c>
      <c r="E237" s="3">
        <v>3487.5</v>
      </c>
      <c r="F237" s="3">
        <v>6750</v>
      </c>
      <c r="G237" s="3">
        <v>0.2</v>
      </c>
      <c r="H237" s="3">
        <f t="shared" si="34"/>
        <v>-0.32</v>
      </c>
      <c r="I237" s="3">
        <v>1350</v>
      </c>
      <c r="J237" s="3" t="s">
        <v>1</v>
      </c>
      <c r="K237" s="3" t="s">
        <v>1</v>
      </c>
      <c r="L237" s="3" t="s">
        <v>1</v>
      </c>
      <c r="M237" s="4">
        <v>-2137.5</v>
      </c>
      <c r="N237" s="5">
        <v>0</v>
      </c>
      <c r="O237" t="str">
        <f t="shared" si="35"/>
        <v>NIFTY</v>
      </c>
      <c r="P237" t="str">
        <f>IF(SEARCH("NIFTY",O237),RIGHT(A237,7),0)</f>
        <v>19700CE</v>
      </c>
      <c r="S237">
        <v>0.36009389671361502</v>
      </c>
    </row>
    <row r="238" spans="1:19" hidden="1" x14ac:dyDescent="0.3">
      <c r="A238" s="1" t="s">
        <v>237</v>
      </c>
      <c r="B238" s="2">
        <v>45099</v>
      </c>
      <c r="C238" s="3">
        <v>2300</v>
      </c>
      <c r="D238" s="3">
        <v>11.39</v>
      </c>
      <c r="E238" s="3">
        <v>26195</v>
      </c>
      <c r="F238" s="3">
        <v>2300</v>
      </c>
      <c r="G238" s="3">
        <v>9.16</v>
      </c>
      <c r="H238" s="3">
        <f t="shared" si="34"/>
        <v>-2.2300000000000004</v>
      </c>
      <c r="I238" s="3">
        <v>21065</v>
      </c>
      <c r="J238" s="3" t="s">
        <v>1</v>
      </c>
      <c r="K238" s="3" t="s">
        <v>1</v>
      </c>
      <c r="L238" s="3" t="s">
        <v>1</v>
      </c>
      <c r="M238" s="4">
        <v>-5130</v>
      </c>
      <c r="N238" s="5">
        <v>0</v>
      </c>
      <c r="O238" t="str">
        <f t="shared" si="35"/>
        <v>NIFTY</v>
      </c>
      <c r="P238" t="str">
        <f>IF(SEARCH("NIFTY",O238),RIGHT(A238,7),0)</f>
        <v>19000CE</v>
      </c>
      <c r="S238">
        <v>0.41249999999999998</v>
      </c>
    </row>
    <row r="239" spans="1:19" hidden="1" x14ac:dyDescent="0.3">
      <c r="A239" s="1" t="s">
        <v>238</v>
      </c>
      <c r="B239" s="2">
        <v>45120</v>
      </c>
      <c r="C239" s="3">
        <v>3000</v>
      </c>
      <c r="D239" s="3">
        <v>0.9</v>
      </c>
      <c r="E239" s="3">
        <v>2700</v>
      </c>
      <c r="F239" s="3">
        <v>3000</v>
      </c>
      <c r="G239" s="3">
        <v>0.9</v>
      </c>
      <c r="H239" s="3">
        <f t="shared" si="34"/>
        <v>0</v>
      </c>
      <c r="I239" s="3">
        <v>2700</v>
      </c>
      <c r="J239" s="3" t="s">
        <v>1</v>
      </c>
      <c r="K239" s="3" t="s">
        <v>1</v>
      </c>
      <c r="L239" s="3" t="s">
        <v>1</v>
      </c>
      <c r="M239" s="5">
        <v>0</v>
      </c>
      <c r="N239" s="5">
        <v>0</v>
      </c>
      <c r="O239" t="str">
        <f t="shared" si="35"/>
        <v>NIFTY</v>
      </c>
      <c r="P239" t="str">
        <f>IF(SEARCH("NIFTY",O239),RIGHT(A239,7),0)</f>
        <v>21000CE</v>
      </c>
      <c r="S239">
        <v>0.44230769230769229</v>
      </c>
    </row>
    <row r="240" spans="1:19" hidden="1" x14ac:dyDescent="0.3">
      <c r="A240" s="1" t="s">
        <v>239</v>
      </c>
      <c r="B240" s="2">
        <v>45099</v>
      </c>
      <c r="C240" s="3">
        <v>6000</v>
      </c>
      <c r="D240" s="3">
        <v>7.97</v>
      </c>
      <c r="E240" s="3">
        <v>47820</v>
      </c>
      <c r="F240" s="3">
        <v>6000</v>
      </c>
      <c r="G240" s="3">
        <v>6.69</v>
      </c>
      <c r="H240" s="3">
        <f t="shared" si="34"/>
        <v>-1.2799999999999994</v>
      </c>
      <c r="I240" s="3">
        <v>40135</v>
      </c>
      <c r="J240" s="3" t="s">
        <v>1</v>
      </c>
      <c r="K240" s="3" t="s">
        <v>1</v>
      </c>
      <c r="L240" s="3" t="s">
        <v>1</v>
      </c>
      <c r="M240" s="4">
        <v>-7685</v>
      </c>
      <c r="N240" s="5">
        <v>0</v>
      </c>
      <c r="O240" t="str">
        <f t="shared" si="35"/>
        <v>NIFTY</v>
      </c>
      <c r="P240" t="str">
        <f>IF(SEARCH("NIFTY",O240),RIGHT(A240,7),0)</f>
        <v>18950CE</v>
      </c>
      <c r="S240">
        <v>0.4452054794520548</v>
      </c>
    </row>
    <row r="241" spans="1:19" x14ac:dyDescent="0.3">
      <c r="A241" s="1" t="s">
        <v>240</v>
      </c>
      <c r="B241" s="2">
        <v>45085</v>
      </c>
      <c r="C241" s="3">
        <v>2500</v>
      </c>
      <c r="D241" s="3">
        <v>1.23</v>
      </c>
      <c r="E241" s="3">
        <v>3075</v>
      </c>
      <c r="F241" s="3">
        <v>2500</v>
      </c>
      <c r="G241" s="3">
        <v>24.83</v>
      </c>
      <c r="H241" s="3">
        <f t="shared" si="34"/>
        <v>23.599999999999998</v>
      </c>
      <c r="I241" s="3">
        <v>62080</v>
      </c>
      <c r="J241" s="3" t="s">
        <v>1</v>
      </c>
      <c r="K241" s="3" t="s">
        <v>1</v>
      </c>
      <c r="L241" s="3" t="s">
        <v>1</v>
      </c>
      <c r="M241" s="5">
        <v>59005</v>
      </c>
      <c r="N241" s="5">
        <v>0</v>
      </c>
      <c r="O241" t="str">
        <f t="shared" si="35"/>
        <v>BANKNIFTY</v>
      </c>
      <c r="P241" t="str">
        <f>IF(SEARCH("NIFTY",O241),RIGHT(A241,7),0)</f>
        <v>44300CE</v>
      </c>
      <c r="Q241">
        <f t="shared" ref="Q241:Q243" si="42">M241/C241</f>
        <v>23.602</v>
      </c>
      <c r="S241">
        <v>0.47628205128205126</v>
      </c>
    </row>
    <row r="242" spans="1:19" x14ac:dyDescent="0.3">
      <c r="A242" s="1" t="s">
        <v>241</v>
      </c>
      <c r="B242" s="2">
        <v>45085</v>
      </c>
      <c r="C242" s="3">
        <v>1500</v>
      </c>
      <c r="D242" s="3">
        <v>1.4</v>
      </c>
      <c r="E242" s="3">
        <v>2100</v>
      </c>
      <c r="F242" s="3">
        <v>1500</v>
      </c>
      <c r="G242" s="3">
        <v>5.35</v>
      </c>
      <c r="H242" s="3">
        <f t="shared" si="34"/>
        <v>3.9499999999999997</v>
      </c>
      <c r="I242" s="3">
        <v>8025</v>
      </c>
      <c r="J242" s="3" t="s">
        <v>1</v>
      </c>
      <c r="K242" s="3" t="s">
        <v>1</v>
      </c>
      <c r="L242" s="3" t="s">
        <v>1</v>
      </c>
      <c r="M242" s="5">
        <v>5925</v>
      </c>
      <c r="N242" s="5">
        <v>0</v>
      </c>
      <c r="O242" t="str">
        <f t="shared" si="35"/>
        <v>BANKNIFTY</v>
      </c>
      <c r="P242" t="str">
        <f>IF(SEARCH("NIFTY",O242),RIGHT(A242,7),0)</f>
        <v>44100CE</v>
      </c>
      <c r="Q242">
        <f t="shared" si="42"/>
        <v>3.95</v>
      </c>
      <c r="S242">
        <v>0.48232323232323232</v>
      </c>
    </row>
    <row r="243" spans="1:19" x14ac:dyDescent="0.3">
      <c r="A243" s="1" t="s">
        <v>242</v>
      </c>
      <c r="B243" s="2">
        <v>45162</v>
      </c>
      <c r="C243" s="3">
        <v>1350</v>
      </c>
      <c r="D243" s="3">
        <v>6.7</v>
      </c>
      <c r="E243" s="3">
        <v>9045</v>
      </c>
      <c r="F243" s="3">
        <v>1350</v>
      </c>
      <c r="G243" s="3">
        <v>14.32</v>
      </c>
      <c r="H243" s="3">
        <f t="shared" si="34"/>
        <v>7.62</v>
      </c>
      <c r="I243" s="3">
        <v>19327.5</v>
      </c>
      <c r="J243" s="3" t="s">
        <v>1</v>
      </c>
      <c r="K243" s="3" t="s">
        <v>1</v>
      </c>
      <c r="L243" s="3" t="s">
        <v>1</v>
      </c>
      <c r="M243" s="5">
        <v>10282.5</v>
      </c>
      <c r="N243" s="5">
        <v>0</v>
      </c>
      <c r="O243" t="str">
        <f t="shared" si="35"/>
        <v>BANKNIFTY</v>
      </c>
      <c r="P243" t="str">
        <f>IF(SEARCH("NIFTY",O243),RIGHT(A243,7),0)</f>
        <v>45300CE</v>
      </c>
      <c r="Q243">
        <f t="shared" si="42"/>
        <v>7.6166666666666663</v>
      </c>
      <c r="S243">
        <v>0.48906250000000001</v>
      </c>
    </row>
    <row r="244" spans="1:19" hidden="1" x14ac:dyDescent="0.3">
      <c r="A244" s="1" t="s">
        <v>243</v>
      </c>
      <c r="B244" s="2">
        <v>45036</v>
      </c>
      <c r="C244" s="3">
        <v>10000</v>
      </c>
      <c r="D244" s="3">
        <v>2.4</v>
      </c>
      <c r="E244" s="3">
        <v>23950</v>
      </c>
      <c r="F244" s="3">
        <v>10000</v>
      </c>
      <c r="G244" s="3">
        <v>3.32</v>
      </c>
      <c r="H244" s="3">
        <f t="shared" si="34"/>
        <v>0.91999999999999993</v>
      </c>
      <c r="I244" s="3">
        <v>33152.5</v>
      </c>
      <c r="J244" s="3" t="s">
        <v>1</v>
      </c>
      <c r="K244" s="3" t="s">
        <v>1</v>
      </c>
      <c r="L244" s="3" t="s">
        <v>1</v>
      </c>
      <c r="M244" s="5">
        <v>9202.5</v>
      </c>
      <c r="N244" s="5">
        <v>0</v>
      </c>
      <c r="O244" t="str">
        <f t="shared" si="35"/>
        <v>NIFTY</v>
      </c>
      <c r="P244" t="str">
        <f>IF(SEARCH("NIFTY",O244),RIGHT(A244,7),0)</f>
        <v>17500PE</v>
      </c>
      <c r="S244">
        <v>0.53333333333333333</v>
      </c>
    </row>
    <row r="245" spans="1:19" hidden="1" x14ac:dyDescent="0.3">
      <c r="A245" s="1" t="s">
        <v>244</v>
      </c>
      <c r="B245" s="2">
        <v>45078</v>
      </c>
      <c r="C245" s="3">
        <v>6000</v>
      </c>
      <c r="D245" s="3">
        <v>10.16</v>
      </c>
      <c r="E245" s="3">
        <v>60957.5</v>
      </c>
      <c r="F245" s="3">
        <v>6000</v>
      </c>
      <c r="G245" s="3">
        <v>10.49</v>
      </c>
      <c r="H245" s="3">
        <f t="shared" si="34"/>
        <v>0.33000000000000007</v>
      </c>
      <c r="I245" s="3">
        <v>62910</v>
      </c>
      <c r="J245" s="3" t="s">
        <v>1</v>
      </c>
      <c r="K245" s="3" t="s">
        <v>1</v>
      </c>
      <c r="L245" s="3" t="s">
        <v>1</v>
      </c>
      <c r="M245" s="5">
        <v>1952.5</v>
      </c>
      <c r="N245" s="5">
        <v>0</v>
      </c>
      <c r="O245" t="str">
        <f t="shared" si="35"/>
        <v>NIFTY</v>
      </c>
      <c r="P245" t="str">
        <f>IF(SEARCH("NIFTY",O245),RIGHT(A245,7),0)</f>
        <v>18600CE</v>
      </c>
      <c r="S245">
        <v>0.61499999999999999</v>
      </c>
    </row>
    <row r="246" spans="1:19" hidden="1" x14ac:dyDescent="0.3">
      <c r="A246" s="1" t="s">
        <v>245</v>
      </c>
      <c r="B246" s="2">
        <v>45169</v>
      </c>
      <c r="C246" s="3">
        <v>150000</v>
      </c>
      <c r="D246" s="3">
        <v>2.1</v>
      </c>
      <c r="E246" s="3">
        <v>315000</v>
      </c>
      <c r="F246" s="3">
        <v>150000</v>
      </c>
      <c r="G246" s="3">
        <v>0.79</v>
      </c>
      <c r="H246" s="3">
        <f t="shared" si="34"/>
        <v>-1.31</v>
      </c>
      <c r="I246" s="3">
        <v>118500</v>
      </c>
      <c r="J246" s="3" t="s">
        <v>1</v>
      </c>
      <c r="K246" s="3" t="s">
        <v>1</v>
      </c>
      <c r="L246" s="3" t="s">
        <v>1</v>
      </c>
      <c r="M246" s="4">
        <v>-196500</v>
      </c>
      <c r="N246" s="5">
        <v>0</v>
      </c>
      <c r="O246" t="e">
        <f t="shared" si="35"/>
        <v>#VALUE!</v>
      </c>
      <c r="P246" t="e">
        <f>IF(SEARCH("NIFTY",O246),RIGHT(A246,7),0)</f>
        <v>#VALUE!</v>
      </c>
      <c r="S246">
        <v>0.69017857142857142</v>
      </c>
    </row>
    <row r="247" spans="1:19" hidden="1" x14ac:dyDescent="0.3">
      <c r="A247" s="1" t="s">
        <v>246</v>
      </c>
      <c r="B247" s="2">
        <v>45055</v>
      </c>
      <c r="C247" s="3">
        <v>4800</v>
      </c>
      <c r="D247" s="3">
        <v>7.9</v>
      </c>
      <c r="E247" s="3">
        <v>37920</v>
      </c>
      <c r="F247" s="3">
        <v>4800</v>
      </c>
      <c r="G247" s="3">
        <v>6.11</v>
      </c>
      <c r="H247" s="3">
        <f t="shared" si="34"/>
        <v>-1.79</v>
      </c>
      <c r="I247" s="3">
        <v>29330</v>
      </c>
      <c r="J247" s="3" t="s">
        <v>1</v>
      </c>
      <c r="K247" s="3" t="s">
        <v>1</v>
      </c>
      <c r="L247" s="3" t="s">
        <v>1</v>
      </c>
      <c r="M247" s="4">
        <v>-8590</v>
      </c>
      <c r="N247" s="5">
        <v>0</v>
      </c>
      <c r="O247" t="str">
        <f t="shared" si="35"/>
        <v>FINNIFTY</v>
      </c>
      <c r="P247" t="str">
        <f>IF(SEARCH("NIFTY",O247),RIGHT(A247,7),0)</f>
        <v>19300PE</v>
      </c>
      <c r="S247">
        <v>0.6967592592592593</v>
      </c>
    </row>
    <row r="248" spans="1:19" x14ac:dyDescent="0.3">
      <c r="A248" s="1" t="s">
        <v>247</v>
      </c>
      <c r="B248" s="2">
        <v>45099</v>
      </c>
      <c r="C248" s="3">
        <v>1200</v>
      </c>
      <c r="D248" s="3">
        <v>22.4</v>
      </c>
      <c r="E248" s="3">
        <v>26875</v>
      </c>
      <c r="F248" s="3">
        <v>1200</v>
      </c>
      <c r="G248" s="3">
        <v>19.690000000000001</v>
      </c>
      <c r="H248" s="3">
        <f t="shared" si="34"/>
        <v>-2.7099999999999973</v>
      </c>
      <c r="I248" s="3">
        <v>23625</v>
      </c>
      <c r="J248" s="3" t="s">
        <v>1</v>
      </c>
      <c r="K248" s="3" t="s">
        <v>1</v>
      </c>
      <c r="L248" s="3" t="s">
        <v>1</v>
      </c>
      <c r="M248" s="4">
        <v>-3250</v>
      </c>
      <c r="N248" s="5">
        <v>0</v>
      </c>
      <c r="O248" t="str">
        <f t="shared" si="35"/>
        <v>BANKNIFTY</v>
      </c>
      <c r="P248" t="str">
        <f>IF(SEARCH("NIFTY",O248),RIGHT(A248,7),0)</f>
        <v>43000PE</v>
      </c>
      <c r="Q248">
        <f t="shared" ref="Q248:Q251" si="43">M248/C248</f>
        <v>-2.7083333333333335</v>
      </c>
      <c r="S248">
        <v>0.70263157894736838</v>
      </c>
    </row>
    <row r="249" spans="1:19" x14ac:dyDescent="0.3">
      <c r="A249" s="1" t="s">
        <v>248</v>
      </c>
      <c r="B249" s="2">
        <v>45099</v>
      </c>
      <c r="C249" s="3">
        <v>2700</v>
      </c>
      <c r="D249" s="3">
        <v>33.53</v>
      </c>
      <c r="E249" s="3">
        <v>90536.25</v>
      </c>
      <c r="F249" s="3">
        <v>2700</v>
      </c>
      <c r="G249" s="3">
        <v>34.229999999999997</v>
      </c>
      <c r="H249" s="3">
        <f t="shared" si="34"/>
        <v>0.69999999999999574</v>
      </c>
      <c r="I249" s="3">
        <v>92417.5</v>
      </c>
      <c r="J249" s="3" t="s">
        <v>1</v>
      </c>
      <c r="K249" s="3" t="s">
        <v>1</v>
      </c>
      <c r="L249" s="3" t="s">
        <v>1</v>
      </c>
      <c r="M249" s="5">
        <v>1881.25</v>
      </c>
      <c r="N249" s="5">
        <v>0</v>
      </c>
      <c r="O249" t="str">
        <f t="shared" si="35"/>
        <v>BANKNIFTY</v>
      </c>
      <c r="P249" t="str">
        <f>IF(SEARCH("NIFTY",O249),RIGHT(A249,7),0)</f>
        <v>43300PE</v>
      </c>
      <c r="Q249">
        <f t="shared" si="43"/>
        <v>0.6967592592592593</v>
      </c>
      <c r="S249">
        <v>0.7142857142857143</v>
      </c>
    </row>
    <row r="250" spans="1:19" x14ac:dyDescent="0.3">
      <c r="A250" s="1" t="s">
        <v>249</v>
      </c>
      <c r="B250" s="2">
        <v>45071</v>
      </c>
      <c r="C250" s="3">
        <v>1200</v>
      </c>
      <c r="D250" s="3">
        <v>45.14</v>
      </c>
      <c r="E250" s="3">
        <v>54172.5</v>
      </c>
      <c r="F250" s="3">
        <v>1200</v>
      </c>
      <c r="G250" s="3">
        <v>44.2</v>
      </c>
      <c r="H250" s="3">
        <f t="shared" si="34"/>
        <v>-0.93999999999999773</v>
      </c>
      <c r="I250" s="3">
        <v>53045</v>
      </c>
      <c r="J250" s="3" t="s">
        <v>1</v>
      </c>
      <c r="K250" s="3" t="s">
        <v>1</v>
      </c>
      <c r="L250" s="3" t="s">
        <v>1</v>
      </c>
      <c r="M250" s="4">
        <v>-1127.5</v>
      </c>
      <c r="N250" s="5">
        <v>0</v>
      </c>
      <c r="O250" t="str">
        <f t="shared" si="35"/>
        <v>BANKNIFTY</v>
      </c>
      <c r="P250" t="str">
        <f>IF(SEARCH("NIFTY",O250),RIGHT(A250,7),0)</f>
        <v>43000PE</v>
      </c>
      <c r="Q250">
        <f t="shared" si="43"/>
        <v>-0.93958333333333333</v>
      </c>
      <c r="S250">
        <v>0.8</v>
      </c>
    </row>
    <row r="251" spans="1:19" x14ac:dyDescent="0.3">
      <c r="A251" s="1" t="s">
        <v>250</v>
      </c>
      <c r="B251" s="2">
        <v>45071</v>
      </c>
      <c r="C251" s="3">
        <v>600</v>
      </c>
      <c r="D251" s="3">
        <v>2.8</v>
      </c>
      <c r="E251" s="3">
        <v>1680</v>
      </c>
      <c r="F251" s="3">
        <v>600</v>
      </c>
      <c r="G251" s="3">
        <v>0</v>
      </c>
      <c r="H251" s="3">
        <f t="shared" si="34"/>
        <v>-2.8</v>
      </c>
      <c r="I251" s="3">
        <v>0</v>
      </c>
      <c r="J251" s="3" t="s">
        <v>1</v>
      </c>
      <c r="K251" s="3" t="s">
        <v>1</v>
      </c>
      <c r="L251" s="3" t="s">
        <v>1</v>
      </c>
      <c r="M251" s="4">
        <v>-1680</v>
      </c>
      <c r="N251" s="5">
        <v>0</v>
      </c>
      <c r="O251" t="str">
        <f t="shared" si="35"/>
        <v>BANKNIFTY</v>
      </c>
      <c r="P251" t="str">
        <f>IF(SEARCH("NIFTY",O251),RIGHT(A251,7),0)</f>
        <v>42500PE</v>
      </c>
      <c r="Q251">
        <f t="shared" si="43"/>
        <v>-2.8</v>
      </c>
      <c r="S251">
        <v>0.8076171875</v>
      </c>
    </row>
    <row r="252" spans="1:19" hidden="1" x14ac:dyDescent="0.3">
      <c r="A252" s="1" t="s">
        <v>251</v>
      </c>
      <c r="B252" s="2">
        <v>45176</v>
      </c>
      <c r="C252" s="3">
        <v>300</v>
      </c>
      <c r="D252" s="3">
        <v>32.25</v>
      </c>
      <c r="E252" s="3">
        <v>9675</v>
      </c>
      <c r="F252" s="3">
        <v>300</v>
      </c>
      <c r="G252" s="3">
        <v>34.880000000000003</v>
      </c>
      <c r="H252" s="3">
        <f t="shared" si="34"/>
        <v>2.6300000000000026</v>
      </c>
      <c r="I252" s="3">
        <v>10465</v>
      </c>
      <c r="J252" s="3" t="s">
        <v>1</v>
      </c>
      <c r="K252" s="3" t="s">
        <v>1</v>
      </c>
      <c r="L252" s="3" t="s">
        <v>1</v>
      </c>
      <c r="M252" s="5">
        <v>790</v>
      </c>
      <c r="N252" s="5">
        <v>0</v>
      </c>
      <c r="O252" t="str">
        <f t="shared" si="35"/>
        <v>NIFTY</v>
      </c>
      <c r="P252" t="str">
        <f>IF(SEARCH("NIFTY",O252),RIGHT(A252,7),0)</f>
        <v>19600CE</v>
      </c>
      <c r="S252">
        <v>0.83142857142857141</v>
      </c>
    </row>
    <row r="253" spans="1:19" x14ac:dyDescent="0.3">
      <c r="A253" s="1" t="s">
        <v>252</v>
      </c>
      <c r="B253" s="2">
        <v>45050</v>
      </c>
      <c r="C253" s="3">
        <v>475</v>
      </c>
      <c r="D253" s="3">
        <v>5.6</v>
      </c>
      <c r="E253" s="3">
        <v>2660</v>
      </c>
      <c r="F253" s="3">
        <v>475</v>
      </c>
      <c r="G253" s="3">
        <v>4.45</v>
      </c>
      <c r="H253" s="3">
        <f t="shared" si="34"/>
        <v>-1.1499999999999995</v>
      </c>
      <c r="I253" s="3">
        <v>2113.75</v>
      </c>
      <c r="J253" s="3" t="s">
        <v>1</v>
      </c>
      <c r="K253" s="3" t="s">
        <v>1</v>
      </c>
      <c r="L253" s="3" t="s">
        <v>1</v>
      </c>
      <c r="M253" s="4">
        <v>-546.25</v>
      </c>
      <c r="N253" s="5">
        <v>0</v>
      </c>
      <c r="O253" t="str">
        <f t="shared" si="35"/>
        <v>BANKNIFTY</v>
      </c>
      <c r="P253" t="str">
        <f>IF(SEARCH("NIFTY",O253),RIGHT(A253,7),0)</f>
        <v>41500PE</v>
      </c>
      <c r="Q253">
        <f t="shared" ref="Q253:Q257" si="44">M253/C253</f>
        <v>-1.1499999999999999</v>
      </c>
      <c r="S253">
        <v>0.84320652173913047</v>
      </c>
    </row>
    <row r="254" spans="1:19" x14ac:dyDescent="0.3">
      <c r="A254" s="1" t="s">
        <v>253</v>
      </c>
      <c r="B254" s="2">
        <v>45057</v>
      </c>
      <c r="C254" s="3">
        <v>1200</v>
      </c>
      <c r="D254" s="3">
        <v>34.74</v>
      </c>
      <c r="E254" s="3">
        <v>41687.5</v>
      </c>
      <c r="F254" s="3">
        <v>1200</v>
      </c>
      <c r="G254" s="3">
        <v>49.65</v>
      </c>
      <c r="H254" s="3">
        <f t="shared" si="34"/>
        <v>14.909999999999997</v>
      </c>
      <c r="I254" s="3">
        <v>59576.25</v>
      </c>
      <c r="J254" s="3" t="s">
        <v>1</v>
      </c>
      <c r="K254" s="3" t="s">
        <v>1</v>
      </c>
      <c r="L254" s="3" t="s">
        <v>1</v>
      </c>
      <c r="M254" s="5">
        <v>17888.75</v>
      </c>
      <c r="N254" s="5">
        <v>0</v>
      </c>
      <c r="O254" t="str">
        <f t="shared" si="35"/>
        <v>BANKNIFTY</v>
      </c>
      <c r="P254" t="str">
        <f>IF(SEARCH("NIFTY",O254),RIGHT(A254,7),0)</f>
        <v>43600CE</v>
      </c>
      <c r="Q254">
        <f t="shared" si="44"/>
        <v>14.907291666666667</v>
      </c>
      <c r="S254">
        <v>0.86250000000000004</v>
      </c>
    </row>
    <row r="255" spans="1:19" x14ac:dyDescent="0.3">
      <c r="A255" s="1" t="s">
        <v>254</v>
      </c>
      <c r="B255" s="2">
        <v>45078</v>
      </c>
      <c r="C255" s="3">
        <v>700</v>
      </c>
      <c r="D255" s="3">
        <v>26.95</v>
      </c>
      <c r="E255" s="3">
        <v>18865</v>
      </c>
      <c r="F255" s="3">
        <v>700</v>
      </c>
      <c r="G255" s="3">
        <v>30.54</v>
      </c>
      <c r="H255" s="3">
        <f t="shared" si="34"/>
        <v>3.59</v>
      </c>
      <c r="I255" s="3">
        <v>21377.5</v>
      </c>
      <c r="J255" s="3" t="s">
        <v>1</v>
      </c>
      <c r="K255" s="3" t="s">
        <v>1</v>
      </c>
      <c r="L255" s="3" t="s">
        <v>1</v>
      </c>
      <c r="M255" s="5">
        <v>2512.5</v>
      </c>
      <c r="N255" s="5">
        <v>0</v>
      </c>
      <c r="O255" t="str">
        <f t="shared" si="35"/>
        <v>BANKNIFTY</v>
      </c>
      <c r="P255" t="str">
        <f>IF(SEARCH("NIFTY",O255),RIGHT(A255,7),0)</f>
        <v>43800PE</v>
      </c>
      <c r="Q255">
        <f t="shared" si="44"/>
        <v>3.5892857142857144</v>
      </c>
      <c r="S255">
        <v>0.87007142857142861</v>
      </c>
    </row>
    <row r="256" spans="1:19" x14ac:dyDescent="0.3">
      <c r="A256" s="1" t="s">
        <v>255</v>
      </c>
      <c r="B256" s="2">
        <v>45127</v>
      </c>
      <c r="C256" s="3">
        <v>300</v>
      </c>
      <c r="D256" s="3">
        <v>2</v>
      </c>
      <c r="E256" s="3">
        <v>600</v>
      </c>
      <c r="F256" s="3">
        <v>300</v>
      </c>
      <c r="G256" s="3">
        <v>15.05</v>
      </c>
      <c r="H256" s="3">
        <f t="shared" si="34"/>
        <v>13.05</v>
      </c>
      <c r="I256" s="3">
        <v>4515</v>
      </c>
      <c r="J256" s="3" t="s">
        <v>1</v>
      </c>
      <c r="K256" s="3" t="s">
        <v>1</v>
      </c>
      <c r="L256" s="3" t="s">
        <v>1</v>
      </c>
      <c r="M256" s="5">
        <v>3915</v>
      </c>
      <c r="N256" s="5">
        <v>0</v>
      </c>
      <c r="O256" t="str">
        <f t="shared" si="35"/>
        <v>BANKNIFTY</v>
      </c>
      <c r="P256" t="str">
        <f>IF(SEARCH("NIFTY",O256),RIGHT(A256,7),0)</f>
        <v>45400PE</v>
      </c>
      <c r="Q256">
        <f t="shared" si="44"/>
        <v>13.05</v>
      </c>
      <c r="S256">
        <v>0.9327586206896552</v>
      </c>
    </row>
    <row r="257" spans="1:19" x14ac:dyDescent="0.3">
      <c r="A257" s="1" t="s">
        <v>256</v>
      </c>
      <c r="B257" s="2">
        <v>45105</v>
      </c>
      <c r="C257" s="3">
        <v>8450</v>
      </c>
      <c r="D257" s="3">
        <v>47.18</v>
      </c>
      <c r="E257" s="3">
        <v>398660</v>
      </c>
      <c r="F257" s="3">
        <v>8450</v>
      </c>
      <c r="G257" s="3">
        <v>52.78</v>
      </c>
      <c r="H257" s="3">
        <f t="shared" si="34"/>
        <v>5.6000000000000014</v>
      </c>
      <c r="I257" s="3">
        <v>446001.25</v>
      </c>
      <c r="J257" s="3" t="s">
        <v>1</v>
      </c>
      <c r="K257" s="3" t="s">
        <v>1</v>
      </c>
      <c r="L257" s="3" t="s">
        <v>1</v>
      </c>
      <c r="M257" s="5">
        <v>47341.25</v>
      </c>
      <c r="N257" s="5">
        <v>0</v>
      </c>
      <c r="O257" t="str">
        <f t="shared" si="35"/>
        <v>BANKNIFTY</v>
      </c>
      <c r="P257" t="str">
        <f>IF(SEARCH("NIFTY",O257),RIGHT(A257,7),0)</f>
        <v>44000PE</v>
      </c>
      <c r="Q257">
        <f t="shared" si="44"/>
        <v>5.6025147928994086</v>
      </c>
      <c r="S257">
        <v>0.99310897435897438</v>
      </c>
    </row>
    <row r="258" spans="1:19" hidden="1" x14ac:dyDescent="0.3">
      <c r="A258" s="1" t="s">
        <v>257</v>
      </c>
      <c r="B258" s="2">
        <v>45134</v>
      </c>
      <c r="C258" s="3">
        <v>150000</v>
      </c>
      <c r="D258" s="3">
        <v>0.2</v>
      </c>
      <c r="E258" s="3">
        <v>30000</v>
      </c>
      <c r="F258" s="3">
        <v>150000</v>
      </c>
      <c r="G258" s="3">
        <v>0.1</v>
      </c>
      <c r="H258" s="3">
        <f t="shared" si="34"/>
        <v>-0.1</v>
      </c>
      <c r="I258" s="3">
        <v>15000</v>
      </c>
      <c r="J258" s="3" t="s">
        <v>1</v>
      </c>
      <c r="K258" s="3" t="s">
        <v>1</v>
      </c>
      <c r="L258" s="3" t="s">
        <v>1</v>
      </c>
      <c r="M258" s="4">
        <v>-15000</v>
      </c>
      <c r="N258" s="5">
        <v>0</v>
      </c>
      <c r="O258" t="e">
        <f t="shared" si="35"/>
        <v>#VALUE!</v>
      </c>
      <c r="P258" t="e">
        <f>IF(SEARCH("NIFTY",O258),RIGHT(A258,7),0)</f>
        <v>#VALUE!</v>
      </c>
      <c r="S258">
        <v>1.0083333333333333</v>
      </c>
    </row>
    <row r="259" spans="1:19" x14ac:dyDescent="0.3">
      <c r="A259" s="1" t="s">
        <v>258</v>
      </c>
      <c r="B259" s="2">
        <v>45050</v>
      </c>
      <c r="C259" s="3">
        <v>2200</v>
      </c>
      <c r="D259" s="3">
        <v>9.01</v>
      </c>
      <c r="E259" s="3">
        <v>19820</v>
      </c>
      <c r="F259" s="3">
        <v>2200</v>
      </c>
      <c r="G259" s="3">
        <v>21.19</v>
      </c>
      <c r="H259" s="3">
        <f t="shared" ref="H259:H322" si="45">G259-D259</f>
        <v>12.180000000000001</v>
      </c>
      <c r="I259" s="3">
        <v>46623.75</v>
      </c>
      <c r="J259" s="3" t="s">
        <v>1</v>
      </c>
      <c r="K259" s="3" t="s">
        <v>1</v>
      </c>
      <c r="L259" s="3" t="s">
        <v>1</v>
      </c>
      <c r="M259" s="5">
        <v>26803.75</v>
      </c>
      <c r="N259" s="5">
        <v>0</v>
      </c>
      <c r="O259" t="str">
        <f t="shared" ref="O259:O322" si="46">LEFT(A259, FIND("NIFTY", A259) +4)</f>
        <v>BANKNIFTY</v>
      </c>
      <c r="P259" t="str">
        <f>IF(SEARCH("NIFTY",O259),RIGHT(A259,7),0)</f>
        <v>43300PE</v>
      </c>
      <c r="Q259">
        <f>M259/C259</f>
        <v>12.183522727272727</v>
      </c>
      <c r="S259">
        <v>1.0249999999999999</v>
      </c>
    </row>
    <row r="260" spans="1:19" hidden="1" x14ac:dyDescent="0.3">
      <c r="A260" s="1" t="s">
        <v>259</v>
      </c>
      <c r="B260" s="2">
        <v>45076</v>
      </c>
      <c r="C260" s="3">
        <v>2000</v>
      </c>
      <c r="D260" s="3">
        <v>5.0999999999999996</v>
      </c>
      <c r="E260" s="3">
        <v>10200</v>
      </c>
      <c r="F260" s="3">
        <v>2000</v>
      </c>
      <c r="G260" s="3">
        <v>7.14</v>
      </c>
      <c r="H260" s="3">
        <f t="shared" si="45"/>
        <v>2.04</v>
      </c>
      <c r="I260" s="3">
        <v>14282</v>
      </c>
      <c r="J260" s="3" t="s">
        <v>1</v>
      </c>
      <c r="K260" s="3" t="s">
        <v>1</v>
      </c>
      <c r="L260" s="3" t="s">
        <v>1</v>
      </c>
      <c r="M260" s="5">
        <v>4082</v>
      </c>
      <c r="N260" s="5">
        <v>0</v>
      </c>
      <c r="O260" t="str">
        <f t="shared" si="46"/>
        <v>FINNIFTY</v>
      </c>
      <c r="P260" t="str">
        <f>IF(SEARCH("NIFTY",O260),RIGHT(A260,7),0)</f>
        <v>19400PE</v>
      </c>
      <c r="S260">
        <v>1.05</v>
      </c>
    </row>
    <row r="261" spans="1:19" x14ac:dyDescent="0.3">
      <c r="A261" s="1" t="s">
        <v>260</v>
      </c>
      <c r="B261" s="2">
        <v>45085</v>
      </c>
      <c r="C261" s="3">
        <v>2100</v>
      </c>
      <c r="D261" s="3">
        <v>37.97</v>
      </c>
      <c r="E261" s="3">
        <v>79746.25</v>
      </c>
      <c r="F261" s="3">
        <v>2100</v>
      </c>
      <c r="G261" s="3">
        <v>37.24</v>
      </c>
      <c r="H261" s="3">
        <f t="shared" si="45"/>
        <v>-0.72999999999999687</v>
      </c>
      <c r="I261" s="3">
        <v>78212.5</v>
      </c>
      <c r="J261" s="3" t="s">
        <v>1</v>
      </c>
      <c r="K261" s="3" t="s">
        <v>1</v>
      </c>
      <c r="L261" s="3" t="s">
        <v>1</v>
      </c>
      <c r="M261" s="4">
        <v>-1533.75</v>
      </c>
      <c r="N261" s="5">
        <v>0</v>
      </c>
      <c r="O261" t="str">
        <f t="shared" si="46"/>
        <v>BANKNIFTY</v>
      </c>
      <c r="P261" t="str">
        <f>IF(SEARCH("NIFTY",O261),RIGHT(A261,7),0)</f>
        <v>43600PE</v>
      </c>
      <c r="Q261">
        <f>M261/C261</f>
        <v>-0.73035714285714282</v>
      </c>
      <c r="S261">
        <v>1.09375</v>
      </c>
    </row>
    <row r="262" spans="1:19" hidden="1" x14ac:dyDescent="0.3">
      <c r="A262" s="1" t="s">
        <v>261</v>
      </c>
      <c r="B262" s="2">
        <v>45050</v>
      </c>
      <c r="C262" s="3">
        <v>3000</v>
      </c>
      <c r="D262" s="3">
        <v>2.85</v>
      </c>
      <c r="E262" s="3">
        <v>8550</v>
      </c>
      <c r="F262" s="3">
        <v>3000</v>
      </c>
      <c r="G262" s="3">
        <v>1.65</v>
      </c>
      <c r="H262" s="3">
        <f t="shared" si="45"/>
        <v>-1.2000000000000002</v>
      </c>
      <c r="I262" s="3">
        <v>4950</v>
      </c>
      <c r="J262" s="3" t="s">
        <v>1</v>
      </c>
      <c r="K262" s="3" t="s">
        <v>1</v>
      </c>
      <c r="L262" s="3" t="s">
        <v>1</v>
      </c>
      <c r="M262" s="4">
        <v>-3600</v>
      </c>
      <c r="N262" s="5">
        <v>0</v>
      </c>
      <c r="O262" t="str">
        <f t="shared" si="46"/>
        <v>NIFTY</v>
      </c>
      <c r="P262" t="str">
        <f>IF(SEARCH("NIFTY",O262),RIGHT(A262,7),0)</f>
        <v>18000PE</v>
      </c>
      <c r="S262">
        <v>1.1025</v>
      </c>
    </row>
    <row r="263" spans="1:19" x14ac:dyDescent="0.3">
      <c r="A263" s="1" t="s">
        <v>262</v>
      </c>
      <c r="B263" s="2">
        <v>45105</v>
      </c>
      <c r="C263" s="3">
        <v>400</v>
      </c>
      <c r="D263" s="3">
        <v>137.96</v>
      </c>
      <c r="E263" s="3">
        <v>55183.75</v>
      </c>
      <c r="F263" s="3">
        <v>400</v>
      </c>
      <c r="G263" s="3">
        <v>90.68</v>
      </c>
      <c r="H263" s="3">
        <f t="shared" si="45"/>
        <v>-47.28</v>
      </c>
      <c r="I263" s="3">
        <v>36270</v>
      </c>
      <c r="J263" s="3" t="s">
        <v>1</v>
      </c>
      <c r="K263" s="3" t="s">
        <v>1</v>
      </c>
      <c r="L263" s="3" t="s">
        <v>1</v>
      </c>
      <c r="M263" s="4">
        <v>-18913.75</v>
      </c>
      <c r="N263" s="5">
        <v>0</v>
      </c>
      <c r="O263" t="str">
        <f t="shared" si="46"/>
        <v>BANKNIFTY</v>
      </c>
      <c r="P263" t="str">
        <f>IF(SEARCH("NIFTY",O263),RIGHT(A263,7),0)</f>
        <v>44100CE</v>
      </c>
      <c r="Q263">
        <f t="shared" ref="Q263:Q265" si="47">M263/C263</f>
        <v>-47.284374999999997</v>
      </c>
      <c r="S263">
        <v>1.1499999999999999</v>
      </c>
    </row>
    <row r="264" spans="1:19" x14ac:dyDescent="0.3">
      <c r="A264" s="1" t="s">
        <v>263</v>
      </c>
      <c r="B264" s="2">
        <v>45113</v>
      </c>
      <c r="C264" s="3">
        <v>2850</v>
      </c>
      <c r="D264" s="3">
        <v>5.29</v>
      </c>
      <c r="E264" s="3">
        <v>15070</v>
      </c>
      <c r="F264" s="3">
        <v>2850</v>
      </c>
      <c r="G264" s="3">
        <v>3.75</v>
      </c>
      <c r="H264" s="3">
        <f t="shared" si="45"/>
        <v>-1.54</v>
      </c>
      <c r="I264" s="3">
        <v>10680</v>
      </c>
      <c r="J264" s="3" t="s">
        <v>1</v>
      </c>
      <c r="K264" s="3" t="s">
        <v>1</v>
      </c>
      <c r="L264" s="3" t="s">
        <v>1</v>
      </c>
      <c r="M264" s="4">
        <v>-4390</v>
      </c>
      <c r="N264" s="5">
        <v>0</v>
      </c>
      <c r="O264" t="str">
        <f t="shared" si="46"/>
        <v>BANKNIFTY</v>
      </c>
      <c r="P264" t="str">
        <f>IF(SEARCH("NIFTY",O264),RIGHT(A264,7),0)</f>
        <v>43800PE</v>
      </c>
      <c r="Q264">
        <f t="shared" si="47"/>
        <v>-1.5403508771929824</v>
      </c>
      <c r="S264">
        <v>1.1605769230769232</v>
      </c>
    </row>
    <row r="265" spans="1:19" x14ac:dyDescent="0.3">
      <c r="A265" s="1" t="s">
        <v>264</v>
      </c>
      <c r="B265" s="2">
        <v>45036</v>
      </c>
      <c r="C265" s="3">
        <v>5725</v>
      </c>
      <c r="D265" s="3">
        <v>20.25</v>
      </c>
      <c r="E265" s="3">
        <v>115935</v>
      </c>
      <c r="F265" s="3">
        <v>5725</v>
      </c>
      <c r="G265" s="3">
        <v>22.96</v>
      </c>
      <c r="H265" s="3">
        <f t="shared" si="45"/>
        <v>2.7100000000000009</v>
      </c>
      <c r="I265" s="3">
        <v>131422.5</v>
      </c>
      <c r="J265" s="3" t="s">
        <v>1</v>
      </c>
      <c r="K265" s="3" t="s">
        <v>1</v>
      </c>
      <c r="L265" s="3" t="s">
        <v>1</v>
      </c>
      <c r="M265" s="5">
        <v>15487.5</v>
      </c>
      <c r="N265" s="5">
        <v>0</v>
      </c>
      <c r="O265" t="str">
        <f t="shared" si="46"/>
        <v>BANKNIFTY</v>
      </c>
      <c r="P265" t="str">
        <f>IF(SEARCH("NIFTY",O265),RIGHT(A265,7),0)</f>
        <v>41500PE</v>
      </c>
      <c r="Q265">
        <f t="shared" si="47"/>
        <v>2.7052401746724892</v>
      </c>
      <c r="S265">
        <v>1.1722222222222223</v>
      </c>
    </row>
    <row r="266" spans="1:19" hidden="1" x14ac:dyDescent="0.3">
      <c r="A266" s="1" t="s">
        <v>265</v>
      </c>
      <c r="B266" s="2">
        <v>45043</v>
      </c>
      <c r="C266" s="3">
        <v>1400</v>
      </c>
      <c r="D266" s="3">
        <v>1.85</v>
      </c>
      <c r="E266" s="3">
        <v>2590</v>
      </c>
      <c r="F266" s="3">
        <v>1400</v>
      </c>
      <c r="G266" s="3">
        <v>0.65</v>
      </c>
      <c r="H266" s="3">
        <f t="shared" si="45"/>
        <v>-1.2000000000000002</v>
      </c>
      <c r="I266" s="3">
        <v>910</v>
      </c>
      <c r="J266" s="3" t="s">
        <v>1</v>
      </c>
      <c r="K266" s="3" t="s">
        <v>1</v>
      </c>
      <c r="L266" s="3" t="s">
        <v>1</v>
      </c>
      <c r="M266" s="4">
        <v>-1680</v>
      </c>
      <c r="N266" s="5">
        <v>0</v>
      </c>
      <c r="O266" t="str">
        <f t="shared" si="46"/>
        <v>NIFTY</v>
      </c>
      <c r="P266" t="str">
        <f>IF(SEARCH("NIFTY",O266),RIGHT(A266,7),0)</f>
        <v>17650PE</v>
      </c>
      <c r="S266">
        <v>1.1848341232227488</v>
      </c>
    </row>
    <row r="267" spans="1:19" x14ac:dyDescent="0.3">
      <c r="A267" s="1" t="s">
        <v>266</v>
      </c>
      <c r="B267" s="2">
        <v>45099</v>
      </c>
      <c r="C267" s="3">
        <v>1000</v>
      </c>
      <c r="D267" s="3">
        <v>19</v>
      </c>
      <c r="E267" s="3">
        <v>19000</v>
      </c>
      <c r="F267" s="3">
        <v>1000</v>
      </c>
      <c r="G267" s="3">
        <v>27.8</v>
      </c>
      <c r="H267" s="3">
        <f t="shared" si="45"/>
        <v>8.8000000000000007</v>
      </c>
      <c r="I267" s="3">
        <v>27797.5</v>
      </c>
      <c r="J267" s="3" t="s">
        <v>1</v>
      </c>
      <c r="K267" s="3" t="s">
        <v>1</v>
      </c>
      <c r="L267" s="3" t="s">
        <v>1</v>
      </c>
      <c r="M267" s="5">
        <v>8797.5</v>
      </c>
      <c r="N267" s="5">
        <v>0</v>
      </c>
      <c r="O267" t="str">
        <f t="shared" si="46"/>
        <v>BANKNIFTY</v>
      </c>
      <c r="P267" t="str">
        <f>IF(SEARCH("NIFTY",O267),RIGHT(A267,7),0)</f>
        <v>43600PE</v>
      </c>
      <c r="Q267">
        <f t="shared" ref="Q267:Q269" si="48">M267/C267</f>
        <v>8.7974999999999994</v>
      </c>
      <c r="S267">
        <v>1.1968749999999999</v>
      </c>
    </row>
    <row r="268" spans="1:19" x14ac:dyDescent="0.3">
      <c r="A268" s="1" t="s">
        <v>267</v>
      </c>
      <c r="B268" s="2">
        <v>45162</v>
      </c>
      <c r="C268" s="3">
        <v>5220</v>
      </c>
      <c r="D268" s="3">
        <v>22.03</v>
      </c>
      <c r="E268" s="3">
        <v>114975.75</v>
      </c>
      <c r="F268" s="3">
        <v>5220</v>
      </c>
      <c r="G268" s="3">
        <v>25.66</v>
      </c>
      <c r="H268" s="3">
        <f t="shared" si="45"/>
        <v>3.629999999999999</v>
      </c>
      <c r="I268" s="3">
        <v>133941.75</v>
      </c>
      <c r="J268" s="3" t="s">
        <v>1</v>
      </c>
      <c r="K268" s="3" t="s">
        <v>1</v>
      </c>
      <c r="L268" s="3" t="s">
        <v>1</v>
      </c>
      <c r="M268" s="5">
        <v>18966</v>
      </c>
      <c r="N268" s="5">
        <v>0</v>
      </c>
      <c r="O268" t="str">
        <f t="shared" si="46"/>
        <v>BANKNIFTY</v>
      </c>
      <c r="P268" t="str">
        <f>IF(SEARCH("NIFTY",O268),RIGHT(A268,7),0)</f>
        <v>44500PE</v>
      </c>
      <c r="Q268">
        <f t="shared" si="48"/>
        <v>3.6333333333333333</v>
      </c>
      <c r="S268">
        <v>1.2541666666666667</v>
      </c>
    </row>
    <row r="269" spans="1:19" x14ac:dyDescent="0.3">
      <c r="A269" s="1" t="s">
        <v>268</v>
      </c>
      <c r="B269" s="2">
        <v>45099</v>
      </c>
      <c r="C269" s="3">
        <v>1000</v>
      </c>
      <c r="D269" s="3">
        <v>130.84</v>
      </c>
      <c r="E269" s="3">
        <v>130837.5</v>
      </c>
      <c r="F269" s="3">
        <v>1000</v>
      </c>
      <c r="G269" s="3">
        <v>128.47999999999999</v>
      </c>
      <c r="H269" s="3">
        <f t="shared" si="45"/>
        <v>-2.3600000000000136</v>
      </c>
      <c r="I269" s="3">
        <v>128477.5</v>
      </c>
      <c r="J269" s="3" t="s">
        <v>1</v>
      </c>
      <c r="K269" s="3" t="s">
        <v>1</v>
      </c>
      <c r="L269" s="3" t="s">
        <v>1</v>
      </c>
      <c r="M269" s="4">
        <v>-2360</v>
      </c>
      <c r="N269" s="5">
        <v>0</v>
      </c>
      <c r="O269" t="str">
        <f t="shared" si="46"/>
        <v>BANKNIFTY</v>
      </c>
      <c r="P269" t="str">
        <f>IF(SEARCH("NIFTY",O269),RIGHT(A269,7),0)</f>
        <v>43900PE</v>
      </c>
      <c r="Q269">
        <f t="shared" si="48"/>
        <v>-2.36</v>
      </c>
      <c r="S269">
        <v>1.2571759259259259</v>
      </c>
    </row>
    <row r="270" spans="1:19" hidden="1" x14ac:dyDescent="0.3">
      <c r="A270" s="1" t="s">
        <v>269</v>
      </c>
      <c r="B270" s="2">
        <v>45085</v>
      </c>
      <c r="C270" s="3">
        <v>3000</v>
      </c>
      <c r="D270" s="3">
        <v>1.71</v>
      </c>
      <c r="E270" s="3">
        <v>5125</v>
      </c>
      <c r="F270" s="3">
        <v>3000</v>
      </c>
      <c r="G270" s="3">
        <v>0.55000000000000004</v>
      </c>
      <c r="H270" s="3">
        <f t="shared" si="45"/>
        <v>-1.1599999999999999</v>
      </c>
      <c r="I270" s="3">
        <v>1650</v>
      </c>
      <c r="J270" s="3" t="s">
        <v>1</v>
      </c>
      <c r="K270" s="3" t="s">
        <v>1</v>
      </c>
      <c r="L270" s="3" t="s">
        <v>1</v>
      </c>
      <c r="M270" s="4">
        <v>-3475</v>
      </c>
      <c r="N270" s="5">
        <v>0</v>
      </c>
      <c r="O270" t="str">
        <f t="shared" si="46"/>
        <v>NIFTY</v>
      </c>
      <c r="P270" t="str">
        <f>IF(SEARCH("NIFTY",O270),RIGHT(A270,7),0)</f>
        <v>18550PE</v>
      </c>
      <c r="S270">
        <v>1.2625</v>
      </c>
    </row>
    <row r="271" spans="1:19" x14ac:dyDescent="0.3">
      <c r="A271" s="1" t="s">
        <v>270</v>
      </c>
      <c r="B271" s="2">
        <v>45085</v>
      </c>
      <c r="C271" s="3">
        <v>2400</v>
      </c>
      <c r="D271" s="3">
        <v>30.98</v>
      </c>
      <c r="E271" s="3">
        <v>74345</v>
      </c>
      <c r="F271" s="3">
        <v>2400</v>
      </c>
      <c r="G271" s="3">
        <v>33.93</v>
      </c>
      <c r="H271" s="3">
        <f t="shared" si="45"/>
        <v>2.9499999999999993</v>
      </c>
      <c r="I271" s="3">
        <v>81437.5</v>
      </c>
      <c r="J271" s="3" t="s">
        <v>1</v>
      </c>
      <c r="K271" s="3" t="s">
        <v>1</v>
      </c>
      <c r="L271" s="3" t="s">
        <v>1</v>
      </c>
      <c r="M271" s="5">
        <v>7092.5</v>
      </c>
      <c r="N271" s="5">
        <v>0</v>
      </c>
      <c r="O271" t="str">
        <f t="shared" si="46"/>
        <v>BANKNIFTY</v>
      </c>
      <c r="P271" t="str">
        <f>IF(SEARCH("NIFTY",O271),RIGHT(A271,7),0)</f>
        <v>43500PE</v>
      </c>
      <c r="Q271">
        <f t="shared" ref="Q271:Q272" si="49">M271/C271</f>
        <v>2.9552083333333332</v>
      </c>
      <c r="S271">
        <v>1.3527777777777779</v>
      </c>
    </row>
    <row r="272" spans="1:19" x14ac:dyDescent="0.3">
      <c r="A272" s="1" t="s">
        <v>271</v>
      </c>
      <c r="B272" s="2">
        <v>45057</v>
      </c>
      <c r="C272" s="3">
        <v>2000</v>
      </c>
      <c r="D272" s="3">
        <v>38.76</v>
      </c>
      <c r="E272" s="3">
        <v>77515</v>
      </c>
      <c r="F272" s="3">
        <v>2000</v>
      </c>
      <c r="G272" s="3">
        <v>28.25</v>
      </c>
      <c r="H272" s="3">
        <f t="shared" si="45"/>
        <v>-10.509999999999998</v>
      </c>
      <c r="I272" s="3">
        <v>56496.25</v>
      </c>
      <c r="J272" s="3" t="s">
        <v>1</v>
      </c>
      <c r="K272" s="3" t="s">
        <v>1</v>
      </c>
      <c r="L272" s="3" t="s">
        <v>1</v>
      </c>
      <c r="M272" s="4">
        <v>-21018.75</v>
      </c>
      <c r="N272" s="5">
        <v>0</v>
      </c>
      <c r="O272" t="str">
        <f t="shared" si="46"/>
        <v>BANKNIFTY</v>
      </c>
      <c r="P272" t="str">
        <f>IF(SEARCH("NIFTY",O272),RIGHT(A272,7),0)</f>
        <v>43300PE</v>
      </c>
      <c r="Q272">
        <f t="shared" si="49"/>
        <v>-10.509375</v>
      </c>
      <c r="S272">
        <v>1.3907258064516128</v>
      </c>
    </row>
    <row r="273" spans="1:19" hidden="1" x14ac:dyDescent="0.3">
      <c r="A273" s="1" t="s">
        <v>272</v>
      </c>
      <c r="B273" s="2">
        <v>45134</v>
      </c>
      <c r="C273" s="3">
        <v>600000</v>
      </c>
      <c r="D273" s="3">
        <v>0.35</v>
      </c>
      <c r="E273" s="3">
        <v>210000</v>
      </c>
      <c r="F273" s="3">
        <v>600000</v>
      </c>
      <c r="G273" s="3">
        <v>0.03</v>
      </c>
      <c r="H273" s="3">
        <f t="shared" si="45"/>
        <v>-0.31999999999999995</v>
      </c>
      <c r="I273" s="3">
        <v>18000</v>
      </c>
      <c r="J273" s="3" t="s">
        <v>1</v>
      </c>
      <c r="K273" s="3" t="s">
        <v>1</v>
      </c>
      <c r="L273" s="3" t="s">
        <v>1</v>
      </c>
      <c r="M273" s="4">
        <v>-192000</v>
      </c>
      <c r="N273" s="5">
        <v>0</v>
      </c>
      <c r="O273" t="e">
        <f t="shared" si="46"/>
        <v>#VALUE!</v>
      </c>
      <c r="P273" t="e">
        <f>IF(SEARCH("NIFTY",O273),RIGHT(A273,7),0)</f>
        <v>#VALUE!</v>
      </c>
      <c r="S273">
        <v>1.4</v>
      </c>
    </row>
    <row r="274" spans="1:19" hidden="1" x14ac:dyDescent="0.3">
      <c r="A274" s="1" t="s">
        <v>273</v>
      </c>
      <c r="B274" s="2">
        <v>45169</v>
      </c>
      <c r="C274" s="3">
        <v>765000</v>
      </c>
      <c r="D274" s="3">
        <v>0.62</v>
      </c>
      <c r="E274" s="3">
        <v>477750</v>
      </c>
      <c r="F274" s="3">
        <v>765000</v>
      </c>
      <c r="G274" s="3">
        <v>0.25</v>
      </c>
      <c r="H274" s="3">
        <f t="shared" si="45"/>
        <v>-0.37</v>
      </c>
      <c r="I274" s="3">
        <v>195000</v>
      </c>
      <c r="J274" s="3" t="s">
        <v>1</v>
      </c>
      <c r="K274" s="3" t="s">
        <v>1</v>
      </c>
      <c r="L274" s="3" t="s">
        <v>1</v>
      </c>
      <c r="M274" s="4">
        <v>-282750</v>
      </c>
      <c r="N274" s="5">
        <v>0</v>
      </c>
      <c r="O274" t="e">
        <f t="shared" si="46"/>
        <v>#VALUE!</v>
      </c>
      <c r="P274" t="e">
        <f>IF(SEARCH("NIFTY",O274),RIGHT(A274,7),0)</f>
        <v>#VALUE!</v>
      </c>
      <c r="S274">
        <v>1.41</v>
      </c>
    </row>
    <row r="275" spans="1:19" x14ac:dyDescent="0.3">
      <c r="A275" s="1" t="s">
        <v>274</v>
      </c>
      <c r="B275" s="2">
        <v>45078</v>
      </c>
      <c r="C275" s="3">
        <v>2100</v>
      </c>
      <c r="D275" s="3">
        <v>16</v>
      </c>
      <c r="E275" s="3">
        <v>33595</v>
      </c>
      <c r="F275" s="3">
        <v>2100</v>
      </c>
      <c r="G275" s="3">
        <v>19.149999999999999</v>
      </c>
      <c r="H275" s="3">
        <f t="shared" si="45"/>
        <v>3.1499999999999986</v>
      </c>
      <c r="I275" s="3">
        <v>40215</v>
      </c>
      <c r="J275" s="3" t="s">
        <v>1</v>
      </c>
      <c r="K275" s="3" t="s">
        <v>1</v>
      </c>
      <c r="L275" s="3" t="s">
        <v>1</v>
      </c>
      <c r="M275" s="5">
        <v>6620</v>
      </c>
      <c r="N275" s="5">
        <v>0</v>
      </c>
      <c r="O275" t="str">
        <f t="shared" si="46"/>
        <v>BANKNIFTY</v>
      </c>
      <c r="P275" t="str">
        <f>IF(SEARCH("NIFTY",O275),RIGHT(A275,7),0)</f>
        <v>44600CE</v>
      </c>
      <c r="Q275">
        <f t="shared" ref="Q275:Q276" si="50">M275/C275</f>
        <v>3.1523809523809523</v>
      </c>
      <c r="S275">
        <v>1.4454545454545455</v>
      </c>
    </row>
    <row r="276" spans="1:19" x14ac:dyDescent="0.3">
      <c r="A276" s="1" t="s">
        <v>275</v>
      </c>
      <c r="B276" s="2">
        <v>45036</v>
      </c>
      <c r="C276" s="3">
        <v>700</v>
      </c>
      <c r="D276" s="3">
        <v>4.37</v>
      </c>
      <c r="E276" s="3">
        <v>3057.5</v>
      </c>
      <c r="F276" s="3">
        <v>700</v>
      </c>
      <c r="G276" s="3">
        <v>3.13</v>
      </c>
      <c r="H276" s="3">
        <f t="shared" si="45"/>
        <v>-1.2400000000000002</v>
      </c>
      <c r="I276" s="3">
        <v>2190</v>
      </c>
      <c r="J276" s="3" t="s">
        <v>1</v>
      </c>
      <c r="K276" s="3" t="s">
        <v>1</v>
      </c>
      <c r="L276" s="3" t="s">
        <v>1</v>
      </c>
      <c r="M276" s="4">
        <v>-867.5</v>
      </c>
      <c r="N276" s="5">
        <v>0</v>
      </c>
      <c r="O276" t="str">
        <f t="shared" si="46"/>
        <v>BANKNIFTY</v>
      </c>
      <c r="P276" t="str">
        <f>IF(SEARCH("NIFTY",O276),RIGHT(A276,7),0)</f>
        <v>44000CE</v>
      </c>
      <c r="Q276">
        <f t="shared" si="50"/>
        <v>-1.2392857142857143</v>
      </c>
      <c r="S276">
        <v>1.4804216867469879</v>
      </c>
    </row>
    <row r="277" spans="1:19" hidden="1" x14ac:dyDescent="0.3">
      <c r="A277" s="1" t="s">
        <v>276</v>
      </c>
      <c r="B277" s="2">
        <v>45099</v>
      </c>
      <c r="C277" s="3">
        <v>3300</v>
      </c>
      <c r="D277" s="3">
        <v>6.31</v>
      </c>
      <c r="E277" s="3">
        <v>20815</v>
      </c>
      <c r="F277" s="3">
        <v>3300</v>
      </c>
      <c r="G277" s="3">
        <v>7.05</v>
      </c>
      <c r="H277" s="3">
        <f t="shared" si="45"/>
        <v>0.74000000000000021</v>
      </c>
      <c r="I277" s="3">
        <v>23275</v>
      </c>
      <c r="J277" s="3" t="s">
        <v>1</v>
      </c>
      <c r="K277" s="3" t="s">
        <v>1</v>
      </c>
      <c r="L277" s="3" t="s">
        <v>1</v>
      </c>
      <c r="M277" s="5">
        <v>2460</v>
      </c>
      <c r="N277" s="5">
        <v>0</v>
      </c>
      <c r="O277" t="str">
        <f t="shared" si="46"/>
        <v>NIFTY</v>
      </c>
      <c r="P277" t="str">
        <f>IF(SEARCH("NIFTY",O277),RIGHT(A277,7),0)</f>
        <v>18600PE</v>
      </c>
      <c r="S277">
        <v>1.551923076923077</v>
      </c>
    </row>
    <row r="278" spans="1:19" x14ac:dyDescent="0.3">
      <c r="A278" s="1" t="s">
        <v>277</v>
      </c>
      <c r="B278" s="2">
        <v>45105</v>
      </c>
      <c r="C278" s="3">
        <v>375</v>
      </c>
      <c r="D278" s="3">
        <v>198.78</v>
      </c>
      <c r="E278" s="3">
        <v>74542.5</v>
      </c>
      <c r="F278" s="3">
        <v>375</v>
      </c>
      <c r="G278" s="3">
        <v>163.96</v>
      </c>
      <c r="H278" s="3">
        <f t="shared" si="45"/>
        <v>-34.819999999999993</v>
      </c>
      <c r="I278" s="3">
        <v>61486.25</v>
      </c>
      <c r="J278" s="3" t="s">
        <v>1</v>
      </c>
      <c r="K278" s="3" t="s">
        <v>1</v>
      </c>
      <c r="L278" s="3" t="s">
        <v>1</v>
      </c>
      <c r="M278" s="4">
        <v>-13056.25</v>
      </c>
      <c r="N278" s="5">
        <v>0</v>
      </c>
      <c r="O278" t="str">
        <f t="shared" si="46"/>
        <v>BANKNIFTY</v>
      </c>
      <c r="P278" t="str">
        <f>IF(SEARCH("NIFTY",O278),RIGHT(A278,7),0)</f>
        <v>43700CE</v>
      </c>
      <c r="Q278">
        <f t="shared" ref="Q278:Q279" si="51">M278/C278</f>
        <v>-34.81666666666667</v>
      </c>
      <c r="S278">
        <v>1.65</v>
      </c>
    </row>
    <row r="279" spans="1:19" x14ac:dyDescent="0.3">
      <c r="A279" s="1" t="s">
        <v>278</v>
      </c>
      <c r="B279" s="2">
        <v>45105</v>
      </c>
      <c r="C279" s="3">
        <v>1950</v>
      </c>
      <c r="D279" s="3">
        <v>24.43</v>
      </c>
      <c r="E279" s="3">
        <v>47646.25</v>
      </c>
      <c r="F279" s="3">
        <v>1950</v>
      </c>
      <c r="G279" s="3">
        <v>24.91</v>
      </c>
      <c r="H279" s="3">
        <f t="shared" si="45"/>
        <v>0.48000000000000043</v>
      </c>
      <c r="I279" s="3">
        <v>48575</v>
      </c>
      <c r="J279" s="3" t="s">
        <v>1</v>
      </c>
      <c r="K279" s="3" t="s">
        <v>1</v>
      </c>
      <c r="L279" s="3" t="s">
        <v>1</v>
      </c>
      <c r="M279" s="5">
        <v>928.75</v>
      </c>
      <c r="N279" s="5">
        <v>0</v>
      </c>
      <c r="O279" t="str">
        <f t="shared" si="46"/>
        <v>BANKNIFTY</v>
      </c>
      <c r="P279" t="str">
        <f>IF(SEARCH("NIFTY",O279),RIGHT(A279,7),0)</f>
        <v>42800PE</v>
      </c>
      <c r="Q279">
        <f t="shared" si="51"/>
        <v>0.47628205128205126</v>
      </c>
      <c r="S279">
        <v>1.65</v>
      </c>
    </row>
    <row r="280" spans="1:19" hidden="1" x14ac:dyDescent="0.3">
      <c r="A280" s="1" t="s">
        <v>279</v>
      </c>
      <c r="B280" s="2">
        <v>45097</v>
      </c>
      <c r="C280" s="3">
        <v>5000</v>
      </c>
      <c r="D280" s="3">
        <v>40.22</v>
      </c>
      <c r="E280" s="3">
        <v>201110</v>
      </c>
      <c r="F280" s="3">
        <v>5000</v>
      </c>
      <c r="G280" s="3">
        <v>34.93</v>
      </c>
      <c r="H280" s="3">
        <f t="shared" si="45"/>
        <v>-5.2899999999999991</v>
      </c>
      <c r="I280" s="3">
        <v>174670</v>
      </c>
      <c r="J280" s="3" t="s">
        <v>1</v>
      </c>
      <c r="K280" s="3" t="s">
        <v>1</v>
      </c>
      <c r="L280" s="3" t="s">
        <v>1</v>
      </c>
      <c r="M280" s="4">
        <v>-26440</v>
      </c>
      <c r="N280" s="5">
        <v>0</v>
      </c>
      <c r="O280" t="str">
        <f t="shared" si="46"/>
        <v>FINNIFTY</v>
      </c>
      <c r="P280" t="str">
        <f>IF(SEARCH("NIFTY",O280),RIGHT(A280,7),0)</f>
        <v>19450CE</v>
      </c>
      <c r="S280">
        <v>1.6708333333333334</v>
      </c>
    </row>
    <row r="281" spans="1:19" x14ac:dyDescent="0.3">
      <c r="A281" s="1" t="s">
        <v>280</v>
      </c>
      <c r="B281" s="2">
        <v>45092</v>
      </c>
      <c r="C281" s="3">
        <v>1000</v>
      </c>
      <c r="D281" s="3">
        <v>134.04</v>
      </c>
      <c r="E281" s="3">
        <v>134043.75</v>
      </c>
      <c r="F281" s="3">
        <v>1000</v>
      </c>
      <c r="G281" s="3">
        <v>144.07</v>
      </c>
      <c r="H281" s="3">
        <f t="shared" si="45"/>
        <v>10.030000000000001</v>
      </c>
      <c r="I281" s="3">
        <v>144066.25</v>
      </c>
      <c r="J281" s="3" t="s">
        <v>1</v>
      </c>
      <c r="K281" s="3" t="s">
        <v>1</v>
      </c>
      <c r="L281" s="3" t="s">
        <v>1</v>
      </c>
      <c r="M281" s="5">
        <v>10022.5</v>
      </c>
      <c r="N281" s="5">
        <v>0</v>
      </c>
      <c r="O281" t="str">
        <f t="shared" si="46"/>
        <v>BANKNIFTY</v>
      </c>
      <c r="P281" t="str">
        <f>IF(SEARCH("NIFTY",O281),RIGHT(A281,7),0)</f>
        <v>44000CE</v>
      </c>
      <c r="Q281">
        <f t="shared" ref="Q281:Q283" si="52">M281/C281</f>
        <v>10.022500000000001</v>
      </c>
      <c r="S281">
        <v>1.8356250000000001</v>
      </c>
    </row>
    <row r="282" spans="1:19" x14ac:dyDescent="0.3">
      <c r="A282" s="1" t="s">
        <v>281</v>
      </c>
      <c r="B282" s="2">
        <v>45134</v>
      </c>
      <c r="C282" s="3">
        <v>1275</v>
      </c>
      <c r="D282" s="3">
        <v>5.69</v>
      </c>
      <c r="E282" s="3">
        <v>7260</v>
      </c>
      <c r="F282" s="3">
        <v>1275</v>
      </c>
      <c r="G282" s="3">
        <v>5.6</v>
      </c>
      <c r="H282" s="3">
        <f t="shared" si="45"/>
        <v>-9.0000000000000746E-2</v>
      </c>
      <c r="I282" s="3">
        <v>7140</v>
      </c>
      <c r="J282" s="3" t="s">
        <v>1</v>
      </c>
      <c r="K282" s="3" t="s">
        <v>1</v>
      </c>
      <c r="L282" s="3" t="s">
        <v>1</v>
      </c>
      <c r="M282" s="4">
        <v>-120</v>
      </c>
      <c r="N282" s="5">
        <v>0</v>
      </c>
      <c r="O282" t="str">
        <f t="shared" si="46"/>
        <v>BANKNIFTY</v>
      </c>
      <c r="P282" t="str">
        <f>IF(SEARCH("NIFTY",O282),RIGHT(A282,7),0)</f>
        <v>47200CE</v>
      </c>
      <c r="Q282">
        <f t="shared" si="52"/>
        <v>-9.4117647058823528E-2</v>
      </c>
      <c r="S282">
        <v>1.9111111111111112</v>
      </c>
    </row>
    <row r="283" spans="1:19" x14ac:dyDescent="0.3">
      <c r="A283" s="1" t="s">
        <v>282</v>
      </c>
      <c r="B283" s="2">
        <v>45071</v>
      </c>
      <c r="C283" s="3">
        <v>200</v>
      </c>
      <c r="D283" s="3">
        <v>9.4499999999999993</v>
      </c>
      <c r="E283" s="3">
        <v>1890</v>
      </c>
      <c r="F283" s="3">
        <v>200</v>
      </c>
      <c r="G283" s="3">
        <v>15.77</v>
      </c>
      <c r="H283" s="3">
        <f t="shared" si="45"/>
        <v>6.32</v>
      </c>
      <c r="I283" s="3">
        <v>3153.75</v>
      </c>
      <c r="J283" s="3" t="s">
        <v>1</v>
      </c>
      <c r="K283" s="3" t="s">
        <v>1</v>
      </c>
      <c r="L283" s="3" t="s">
        <v>1</v>
      </c>
      <c r="M283" s="5">
        <v>1263.75</v>
      </c>
      <c r="N283" s="5">
        <v>0</v>
      </c>
      <c r="O283" t="str">
        <f t="shared" si="46"/>
        <v>BANKNIFTY</v>
      </c>
      <c r="P283" t="str">
        <f>IF(SEARCH("NIFTY",O283),RIGHT(A283,7),0)</f>
        <v>44200CE</v>
      </c>
      <c r="Q283">
        <f t="shared" si="52"/>
        <v>6.3187499999999996</v>
      </c>
      <c r="S283">
        <v>1.9437500000000001</v>
      </c>
    </row>
    <row r="284" spans="1:19" hidden="1" x14ac:dyDescent="0.3">
      <c r="A284" s="1" t="s">
        <v>283</v>
      </c>
      <c r="B284" s="2">
        <v>45132</v>
      </c>
      <c r="C284" s="3">
        <v>280</v>
      </c>
      <c r="D284" s="3">
        <v>13.5</v>
      </c>
      <c r="E284" s="3">
        <v>3780</v>
      </c>
      <c r="F284" s="3">
        <v>280</v>
      </c>
      <c r="G284" s="3">
        <v>14.49</v>
      </c>
      <c r="H284" s="3">
        <f t="shared" si="45"/>
        <v>0.99000000000000021</v>
      </c>
      <c r="I284" s="3">
        <v>4056</v>
      </c>
      <c r="J284" s="3" t="s">
        <v>1</v>
      </c>
      <c r="K284" s="3" t="s">
        <v>1</v>
      </c>
      <c r="L284" s="3" t="s">
        <v>1</v>
      </c>
      <c r="M284" s="5">
        <v>276</v>
      </c>
      <c r="N284" s="5">
        <v>0</v>
      </c>
      <c r="O284" t="str">
        <f t="shared" si="46"/>
        <v>FINNIFTY</v>
      </c>
      <c r="P284" t="str">
        <f>IF(SEARCH("NIFTY",O284),RIGHT(A284,7),0)</f>
        <v>20400PE</v>
      </c>
      <c r="S284">
        <v>1.9482142857142857</v>
      </c>
    </row>
    <row r="285" spans="1:19" x14ac:dyDescent="0.3">
      <c r="A285" s="1" t="s">
        <v>284</v>
      </c>
      <c r="B285" s="2">
        <v>45105</v>
      </c>
      <c r="C285" s="3">
        <v>400</v>
      </c>
      <c r="D285" s="3">
        <v>6.85</v>
      </c>
      <c r="E285" s="3">
        <v>2740</v>
      </c>
      <c r="F285" s="3">
        <v>400</v>
      </c>
      <c r="G285" s="3">
        <v>5.8</v>
      </c>
      <c r="H285" s="3">
        <f t="shared" si="45"/>
        <v>-1.0499999999999998</v>
      </c>
      <c r="I285" s="3">
        <v>2320</v>
      </c>
      <c r="J285" s="3" t="s">
        <v>1</v>
      </c>
      <c r="K285" s="3" t="s">
        <v>1</v>
      </c>
      <c r="L285" s="3" t="s">
        <v>1</v>
      </c>
      <c r="M285" s="4">
        <v>-420</v>
      </c>
      <c r="N285" s="5">
        <v>0</v>
      </c>
      <c r="O285" t="str">
        <f t="shared" si="46"/>
        <v>BANKNIFTY</v>
      </c>
      <c r="P285" t="str">
        <f>IF(SEARCH("NIFTY",O285),RIGHT(A285,7),0)</f>
        <v>45500CE</v>
      </c>
      <c r="Q285">
        <f>M285/C285</f>
        <v>-1.05</v>
      </c>
      <c r="S285">
        <v>2.0994736842105262</v>
      </c>
    </row>
    <row r="286" spans="1:19" hidden="1" x14ac:dyDescent="0.3">
      <c r="A286" s="1" t="s">
        <v>285</v>
      </c>
      <c r="B286" s="2">
        <v>45076</v>
      </c>
      <c r="C286" s="3">
        <v>4000</v>
      </c>
      <c r="D286" s="3">
        <v>14</v>
      </c>
      <c r="E286" s="3">
        <v>55990</v>
      </c>
      <c r="F286" s="3">
        <v>4000</v>
      </c>
      <c r="G286" s="3">
        <v>10.19</v>
      </c>
      <c r="H286" s="3">
        <f t="shared" si="45"/>
        <v>-3.8100000000000005</v>
      </c>
      <c r="I286" s="3">
        <v>40740</v>
      </c>
      <c r="J286" s="3" t="s">
        <v>1</v>
      </c>
      <c r="K286" s="3" t="s">
        <v>1</v>
      </c>
      <c r="L286" s="3" t="s">
        <v>1</v>
      </c>
      <c r="M286" s="4">
        <v>-15250</v>
      </c>
      <c r="N286" s="5">
        <v>0</v>
      </c>
      <c r="O286" t="str">
        <f t="shared" si="46"/>
        <v>FINNIFTY</v>
      </c>
      <c r="P286" t="str">
        <f>IF(SEARCH("NIFTY",O286),RIGHT(A286,7),0)</f>
        <v>19600CE</v>
      </c>
      <c r="S286">
        <v>2.1589285714285715</v>
      </c>
    </row>
    <row r="287" spans="1:19" hidden="1" x14ac:dyDescent="0.3">
      <c r="A287" s="1" t="s">
        <v>286</v>
      </c>
      <c r="B287" s="2">
        <v>45127</v>
      </c>
      <c r="C287" s="3">
        <v>250</v>
      </c>
      <c r="D287" s="3">
        <v>17.8</v>
      </c>
      <c r="E287" s="3">
        <v>4450</v>
      </c>
      <c r="F287" s="3">
        <v>250</v>
      </c>
      <c r="G287" s="3">
        <v>26.75</v>
      </c>
      <c r="H287" s="3">
        <f t="shared" si="45"/>
        <v>8.9499999999999993</v>
      </c>
      <c r="I287" s="3">
        <v>6687.5</v>
      </c>
      <c r="J287" s="3" t="s">
        <v>1</v>
      </c>
      <c r="K287" s="3" t="s">
        <v>1</v>
      </c>
      <c r="L287" s="3" t="s">
        <v>1</v>
      </c>
      <c r="M287" s="5">
        <v>2237.5</v>
      </c>
      <c r="N287" s="5">
        <v>0</v>
      </c>
      <c r="O287" t="str">
        <f t="shared" si="46"/>
        <v>NIFTY</v>
      </c>
      <c r="P287" t="str">
        <f>IF(SEARCH("NIFTY",O287),RIGHT(A287,7),0)</f>
        <v>19400PE</v>
      </c>
      <c r="S287">
        <v>2.2013157894736843</v>
      </c>
    </row>
    <row r="288" spans="1:19" x14ac:dyDescent="0.3">
      <c r="A288" s="1" t="s">
        <v>287</v>
      </c>
      <c r="B288" s="2">
        <v>45169</v>
      </c>
      <c r="C288" s="3">
        <v>945</v>
      </c>
      <c r="D288" s="3">
        <v>16.98</v>
      </c>
      <c r="E288" s="3">
        <v>16047</v>
      </c>
      <c r="F288" s="3">
        <v>945</v>
      </c>
      <c r="G288" s="3">
        <v>25.46</v>
      </c>
      <c r="H288" s="3">
        <f t="shared" si="45"/>
        <v>8.48</v>
      </c>
      <c r="I288" s="3">
        <v>24057.75</v>
      </c>
      <c r="J288" s="3" t="s">
        <v>1</v>
      </c>
      <c r="K288" s="3" t="s">
        <v>1</v>
      </c>
      <c r="L288" s="3" t="s">
        <v>1</v>
      </c>
      <c r="M288" s="5">
        <v>8010.75</v>
      </c>
      <c r="N288" s="5">
        <v>0</v>
      </c>
      <c r="O288" t="str">
        <f t="shared" si="46"/>
        <v>BANKNIFTY</v>
      </c>
      <c r="P288" t="str">
        <f>IF(SEARCH("NIFTY",O288),RIGHT(A288,7),0)</f>
        <v>45100CE</v>
      </c>
      <c r="Q288">
        <f t="shared" ref="Q288:Q289" si="53">M288/C288</f>
        <v>8.4769841269841262</v>
      </c>
      <c r="S288">
        <v>2.2766891891891894</v>
      </c>
    </row>
    <row r="289" spans="1:19" x14ac:dyDescent="0.3">
      <c r="A289" s="1" t="s">
        <v>288</v>
      </c>
      <c r="B289" s="2">
        <v>45105</v>
      </c>
      <c r="C289" s="3">
        <v>1300</v>
      </c>
      <c r="D289" s="3">
        <v>27.05</v>
      </c>
      <c r="E289" s="3">
        <v>35160</v>
      </c>
      <c r="F289" s="3">
        <v>1300</v>
      </c>
      <c r="G289" s="3">
        <v>34.729999999999997</v>
      </c>
      <c r="H289" s="3">
        <f t="shared" si="45"/>
        <v>7.6799999999999962</v>
      </c>
      <c r="I289" s="3">
        <v>45145</v>
      </c>
      <c r="J289" s="3" t="s">
        <v>1</v>
      </c>
      <c r="K289" s="3" t="s">
        <v>1</v>
      </c>
      <c r="L289" s="3" t="s">
        <v>1</v>
      </c>
      <c r="M289" s="5">
        <v>9985</v>
      </c>
      <c r="N289" s="5">
        <v>0</v>
      </c>
      <c r="O289" t="str">
        <f t="shared" si="46"/>
        <v>BANKNIFTY</v>
      </c>
      <c r="P289" t="str">
        <f>IF(SEARCH("NIFTY",O289),RIGHT(A289,7),0)</f>
        <v>44400CE</v>
      </c>
      <c r="Q289">
        <f t="shared" si="53"/>
        <v>7.680769230769231</v>
      </c>
      <c r="S289">
        <v>2.3236111111111111</v>
      </c>
    </row>
    <row r="290" spans="1:19" hidden="1" x14ac:dyDescent="0.3">
      <c r="A290" s="1" t="s">
        <v>289</v>
      </c>
      <c r="B290" s="2">
        <v>45092</v>
      </c>
      <c r="C290" s="3">
        <v>500</v>
      </c>
      <c r="D290" s="3">
        <v>245.5</v>
      </c>
      <c r="E290" s="3">
        <v>122750</v>
      </c>
      <c r="F290" s="3">
        <v>500</v>
      </c>
      <c r="G290" s="3">
        <v>250</v>
      </c>
      <c r="H290" s="3">
        <f t="shared" si="45"/>
        <v>4.5</v>
      </c>
      <c r="I290" s="3">
        <v>125000</v>
      </c>
      <c r="J290" s="3" t="s">
        <v>1</v>
      </c>
      <c r="K290" s="3" t="s">
        <v>1</v>
      </c>
      <c r="L290" s="3" t="s">
        <v>1</v>
      </c>
      <c r="M290" s="5">
        <v>2250</v>
      </c>
      <c r="N290" s="5">
        <v>0</v>
      </c>
      <c r="O290" t="str">
        <f t="shared" si="46"/>
        <v>NIFTY</v>
      </c>
      <c r="P290" t="str">
        <f>IF(SEARCH("NIFTY",O290),RIGHT(A290,7),0)</f>
        <v>18400CE</v>
      </c>
      <c r="S290">
        <v>2.3279411764705884</v>
      </c>
    </row>
    <row r="291" spans="1:19" x14ac:dyDescent="0.3">
      <c r="A291" s="1" t="s">
        <v>290</v>
      </c>
      <c r="B291" s="2">
        <v>45085</v>
      </c>
      <c r="C291" s="3">
        <v>1300</v>
      </c>
      <c r="D291" s="3">
        <v>23.41</v>
      </c>
      <c r="E291" s="3">
        <v>30432.5</v>
      </c>
      <c r="F291" s="3">
        <v>1300</v>
      </c>
      <c r="G291" s="3">
        <v>24.96</v>
      </c>
      <c r="H291" s="3">
        <f t="shared" si="45"/>
        <v>1.5500000000000007</v>
      </c>
      <c r="I291" s="3">
        <v>32450</v>
      </c>
      <c r="J291" s="3" t="s">
        <v>1</v>
      </c>
      <c r="K291" s="3" t="s">
        <v>1</v>
      </c>
      <c r="L291" s="3" t="s">
        <v>1</v>
      </c>
      <c r="M291" s="5">
        <v>2017.5</v>
      </c>
      <c r="N291" s="5">
        <v>0</v>
      </c>
      <c r="O291" t="str">
        <f t="shared" si="46"/>
        <v>BANKNIFTY</v>
      </c>
      <c r="P291" t="str">
        <f>IF(SEARCH("NIFTY",O291),RIGHT(A291,7),0)</f>
        <v>44900CE</v>
      </c>
      <c r="Q291">
        <f t="shared" ref="Q291:Q299" si="54">M291/C291</f>
        <v>1.551923076923077</v>
      </c>
      <c r="S291">
        <v>2.4228813559322036</v>
      </c>
    </row>
    <row r="292" spans="1:19" x14ac:dyDescent="0.3">
      <c r="A292" s="1" t="s">
        <v>291</v>
      </c>
      <c r="B292" s="2">
        <v>45134</v>
      </c>
      <c r="C292" s="3">
        <v>1425</v>
      </c>
      <c r="D292" s="3">
        <v>35.21</v>
      </c>
      <c r="E292" s="3">
        <v>50173.5</v>
      </c>
      <c r="F292" s="3">
        <v>1425</v>
      </c>
      <c r="G292" s="3">
        <v>37.31</v>
      </c>
      <c r="H292" s="3">
        <f t="shared" si="45"/>
        <v>2.1000000000000014</v>
      </c>
      <c r="I292" s="3">
        <v>53165.25</v>
      </c>
      <c r="J292" s="3" t="s">
        <v>1</v>
      </c>
      <c r="K292" s="3" t="s">
        <v>1</v>
      </c>
      <c r="L292" s="3" t="s">
        <v>1</v>
      </c>
      <c r="M292" s="5">
        <v>2991.75</v>
      </c>
      <c r="N292" s="5">
        <v>0</v>
      </c>
      <c r="O292" t="str">
        <f t="shared" si="46"/>
        <v>BANKNIFTY</v>
      </c>
      <c r="P292" t="str">
        <f>IF(SEARCH("NIFTY",O292),RIGHT(A292,7),0)</f>
        <v>46400CE</v>
      </c>
      <c r="Q292">
        <f t="shared" si="54"/>
        <v>2.0994736842105262</v>
      </c>
      <c r="S292">
        <v>2.4793269230769233</v>
      </c>
    </row>
    <row r="293" spans="1:19" x14ac:dyDescent="0.3">
      <c r="A293" s="1" t="s">
        <v>292</v>
      </c>
      <c r="B293" s="2">
        <v>45085</v>
      </c>
      <c r="C293" s="3">
        <v>4800</v>
      </c>
      <c r="D293" s="3">
        <v>20.38</v>
      </c>
      <c r="E293" s="3">
        <v>97805</v>
      </c>
      <c r="F293" s="3">
        <v>4800</v>
      </c>
      <c r="G293" s="3">
        <v>18.670000000000002</v>
      </c>
      <c r="H293" s="3">
        <f t="shared" si="45"/>
        <v>-1.7099999999999973</v>
      </c>
      <c r="I293" s="3">
        <v>89618.75</v>
      </c>
      <c r="J293" s="3" t="s">
        <v>1</v>
      </c>
      <c r="K293" s="3" t="s">
        <v>1</v>
      </c>
      <c r="L293" s="3" t="s">
        <v>1</v>
      </c>
      <c r="M293" s="4">
        <v>-8186.25</v>
      </c>
      <c r="N293" s="5">
        <v>0</v>
      </c>
      <c r="O293" t="str">
        <f t="shared" si="46"/>
        <v>BANKNIFTY</v>
      </c>
      <c r="P293" t="str">
        <f>IF(SEARCH("NIFTY",O293),RIGHT(A293,7),0)</f>
        <v>43400PE</v>
      </c>
      <c r="Q293">
        <f t="shared" si="54"/>
        <v>-1.7054687500000001</v>
      </c>
      <c r="S293">
        <v>2.4937499999999999</v>
      </c>
    </row>
    <row r="294" spans="1:19" x14ac:dyDescent="0.3">
      <c r="A294" s="1" t="s">
        <v>293</v>
      </c>
      <c r="B294" s="2">
        <v>45162</v>
      </c>
      <c r="C294" s="3">
        <v>495</v>
      </c>
      <c r="D294" s="3">
        <v>37.950000000000003</v>
      </c>
      <c r="E294" s="3">
        <v>18785.25</v>
      </c>
      <c r="F294" s="3">
        <v>495</v>
      </c>
      <c r="G294" s="3">
        <v>48.25</v>
      </c>
      <c r="H294" s="3">
        <f t="shared" si="45"/>
        <v>10.299999999999997</v>
      </c>
      <c r="I294" s="3">
        <v>23883.75</v>
      </c>
      <c r="J294" s="3" t="s">
        <v>1</v>
      </c>
      <c r="K294" s="3" t="s">
        <v>1</v>
      </c>
      <c r="L294" s="3" t="s">
        <v>1</v>
      </c>
      <c r="M294" s="5">
        <v>5098.5</v>
      </c>
      <c r="N294" s="5">
        <v>0</v>
      </c>
      <c r="O294" t="str">
        <f t="shared" si="46"/>
        <v>BANKNIFTY</v>
      </c>
      <c r="P294" t="str">
        <f>IF(SEARCH("NIFTY",O294),RIGHT(A294,7),0)</f>
        <v>43500PE</v>
      </c>
      <c r="Q294">
        <f t="shared" si="54"/>
        <v>10.3</v>
      </c>
      <c r="S294">
        <v>2.5055555555555555</v>
      </c>
    </row>
    <row r="295" spans="1:19" x14ac:dyDescent="0.3">
      <c r="A295" s="1" t="s">
        <v>294</v>
      </c>
      <c r="B295" s="2">
        <v>45064</v>
      </c>
      <c r="C295" s="3">
        <v>1300</v>
      </c>
      <c r="D295" s="3">
        <v>38.24</v>
      </c>
      <c r="E295" s="3">
        <v>49707.5</v>
      </c>
      <c r="F295" s="3">
        <v>1300</v>
      </c>
      <c r="G295" s="3">
        <v>41.06</v>
      </c>
      <c r="H295" s="3">
        <f t="shared" si="45"/>
        <v>2.8200000000000003</v>
      </c>
      <c r="I295" s="3">
        <v>53381.25</v>
      </c>
      <c r="J295" s="3" t="s">
        <v>1</v>
      </c>
      <c r="K295" s="3" t="s">
        <v>1</v>
      </c>
      <c r="L295" s="3" t="s">
        <v>1</v>
      </c>
      <c r="M295" s="5">
        <v>3673.75</v>
      </c>
      <c r="N295" s="5">
        <v>0</v>
      </c>
      <c r="O295" t="str">
        <f t="shared" si="46"/>
        <v>BANKNIFTY</v>
      </c>
      <c r="P295" t="str">
        <f>IF(SEARCH("NIFTY",O295),RIGHT(A295,7),0)</f>
        <v>42300PE</v>
      </c>
      <c r="Q295">
        <f t="shared" si="54"/>
        <v>2.8259615384615384</v>
      </c>
      <c r="S295">
        <v>2.5347222222222223</v>
      </c>
    </row>
    <row r="296" spans="1:19" x14ac:dyDescent="0.3">
      <c r="A296" s="1" t="s">
        <v>295</v>
      </c>
      <c r="B296" s="2">
        <v>45085</v>
      </c>
      <c r="C296" s="3">
        <v>5325</v>
      </c>
      <c r="D296" s="3">
        <v>9.14</v>
      </c>
      <c r="E296" s="3">
        <v>48673.75</v>
      </c>
      <c r="F296" s="3">
        <v>5325</v>
      </c>
      <c r="G296" s="3">
        <v>9.5</v>
      </c>
      <c r="H296" s="3">
        <f t="shared" si="45"/>
        <v>0.35999999999999943</v>
      </c>
      <c r="I296" s="3">
        <v>50591.25</v>
      </c>
      <c r="J296" s="3" t="s">
        <v>1</v>
      </c>
      <c r="K296" s="3" t="s">
        <v>1</v>
      </c>
      <c r="L296" s="3" t="s">
        <v>1</v>
      </c>
      <c r="M296" s="5">
        <v>1917.5</v>
      </c>
      <c r="N296" s="5">
        <v>0</v>
      </c>
      <c r="O296" t="str">
        <f t="shared" si="46"/>
        <v>BANKNIFTY</v>
      </c>
      <c r="P296" t="str">
        <f>IF(SEARCH("NIFTY",O296),RIGHT(A296,7),0)</f>
        <v>43900PE</v>
      </c>
      <c r="Q296">
        <f t="shared" si="54"/>
        <v>0.36009389671361502</v>
      </c>
      <c r="S296">
        <v>2.5625</v>
      </c>
    </row>
    <row r="297" spans="1:19" x14ac:dyDescent="0.3">
      <c r="A297" s="1" t="s">
        <v>296</v>
      </c>
      <c r="B297" s="2">
        <v>45134</v>
      </c>
      <c r="C297" s="3">
        <v>120</v>
      </c>
      <c r="D297" s="3">
        <v>31.7</v>
      </c>
      <c r="E297" s="3">
        <v>3804</v>
      </c>
      <c r="F297" s="3">
        <v>120</v>
      </c>
      <c r="G297" s="3">
        <v>63</v>
      </c>
      <c r="H297" s="3">
        <f t="shared" si="45"/>
        <v>31.3</v>
      </c>
      <c r="I297" s="3">
        <v>7560</v>
      </c>
      <c r="J297" s="3" t="s">
        <v>1</v>
      </c>
      <c r="K297" s="3" t="s">
        <v>1</v>
      </c>
      <c r="L297" s="3" t="s">
        <v>1</v>
      </c>
      <c r="M297" s="5">
        <v>3756</v>
      </c>
      <c r="N297" s="5">
        <v>0</v>
      </c>
      <c r="O297" t="str">
        <f t="shared" si="46"/>
        <v>BANKNIFTY</v>
      </c>
      <c r="P297" t="str">
        <f>IF(SEARCH("NIFTY",O297),RIGHT(A297,7),0)</f>
        <v>46800CE</v>
      </c>
      <c r="Q297">
        <f t="shared" si="54"/>
        <v>31.3</v>
      </c>
      <c r="S297">
        <v>2.6824561403508773</v>
      </c>
    </row>
    <row r="298" spans="1:19" x14ac:dyDescent="0.3">
      <c r="A298" s="1" t="s">
        <v>297</v>
      </c>
      <c r="B298" s="2">
        <v>45036</v>
      </c>
      <c r="C298" s="3">
        <v>2400</v>
      </c>
      <c r="D298" s="3">
        <v>14.37</v>
      </c>
      <c r="E298" s="3">
        <v>34495</v>
      </c>
      <c r="F298" s="3">
        <v>2400</v>
      </c>
      <c r="G298" s="3">
        <v>23.6</v>
      </c>
      <c r="H298" s="3">
        <f t="shared" si="45"/>
        <v>9.2300000000000022</v>
      </c>
      <c r="I298" s="3">
        <v>56648.75</v>
      </c>
      <c r="J298" s="3" t="s">
        <v>1</v>
      </c>
      <c r="K298" s="3" t="s">
        <v>1</v>
      </c>
      <c r="L298" s="3" t="s">
        <v>1</v>
      </c>
      <c r="M298" s="5">
        <v>22153.75</v>
      </c>
      <c r="N298" s="5">
        <v>0</v>
      </c>
      <c r="O298" t="str">
        <f t="shared" si="46"/>
        <v>BANKNIFTY</v>
      </c>
      <c r="P298" t="str">
        <f>IF(SEARCH("NIFTY",O298),RIGHT(A298,7),0)</f>
        <v>42600CE</v>
      </c>
      <c r="Q298">
        <f t="shared" si="54"/>
        <v>9.2307291666666664</v>
      </c>
      <c r="S298">
        <v>2.7052401746724892</v>
      </c>
    </row>
    <row r="299" spans="1:19" x14ac:dyDescent="0.3">
      <c r="A299" s="1" t="s">
        <v>298</v>
      </c>
      <c r="B299" s="2">
        <v>45057</v>
      </c>
      <c r="C299" s="3">
        <v>1000</v>
      </c>
      <c r="D299" s="3">
        <v>53.51</v>
      </c>
      <c r="E299" s="3">
        <v>53512.5</v>
      </c>
      <c r="F299" s="3">
        <v>1000</v>
      </c>
      <c r="G299" s="3">
        <v>50.18</v>
      </c>
      <c r="H299" s="3">
        <f t="shared" si="45"/>
        <v>-3.3299999999999983</v>
      </c>
      <c r="I299" s="3">
        <v>50176.25</v>
      </c>
      <c r="J299" s="3" t="s">
        <v>1</v>
      </c>
      <c r="K299" s="3" t="s">
        <v>1</v>
      </c>
      <c r="L299" s="3" t="s">
        <v>1</v>
      </c>
      <c r="M299" s="4">
        <v>-3336.25</v>
      </c>
      <c r="N299" s="5">
        <v>0</v>
      </c>
      <c r="O299" t="str">
        <f t="shared" si="46"/>
        <v>BANKNIFTY</v>
      </c>
      <c r="P299" t="str">
        <f>IF(SEARCH("NIFTY",O299),RIGHT(A299,7),0)</f>
        <v>43400PE</v>
      </c>
      <c r="Q299">
        <f t="shared" si="54"/>
        <v>-3.3362500000000002</v>
      </c>
      <c r="S299">
        <v>2.7137500000000001</v>
      </c>
    </row>
    <row r="300" spans="1:19" hidden="1" x14ac:dyDescent="0.3">
      <c r="A300" s="1" t="s">
        <v>299</v>
      </c>
      <c r="B300" s="2">
        <v>45148</v>
      </c>
      <c r="C300" s="3">
        <v>2000</v>
      </c>
      <c r="D300" s="3">
        <v>1.3</v>
      </c>
      <c r="E300" s="3">
        <v>2600</v>
      </c>
      <c r="F300" s="3">
        <v>2000</v>
      </c>
      <c r="G300" s="3">
        <v>1.3</v>
      </c>
      <c r="H300" s="3">
        <f t="shared" si="45"/>
        <v>0</v>
      </c>
      <c r="I300" s="3">
        <v>2600</v>
      </c>
      <c r="J300" s="3" t="s">
        <v>1</v>
      </c>
      <c r="K300" s="3" t="s">
        <v>1</v>
      </c>
      <c r="L300" s="3" t="s">
        <v>1</v>
      </c>
      <c r="M300" s="5">
        <v>0</v>
      </c>
      <c r="N300" s="5">
        <v>0</v>
      </c>
      <c r="O300" t="str">
        <f t="shared" si="46"/>
        <v>NIFTY</v>
      </c>
      <c r="P300" t="str">
        <f>IF(SEARCH("NIFTY",O300),RIGHT(A300,7),0)</f>
        <v>19000PE</v>
      </c>
      <c r="S300">
        <v>2.7365853658536587</v>
      </c>
    </row>
    <row r="301" spans="1:19" x14ac:dyDescent="0.3">
      <c r="A301" s="1" t="s">
        <v>300</v>
      </c>
      <c r="B301" s="2">
        <v>45169</v>
      </c>
      <c r="C301" s="3">
        <v>2880</v>
      </c>
      <c r="D301" s="3">
        <v>33.53</v>
      </c>
      <c r="E301" s="3">
        <v>96558.75</v>
      </c>
      <c r="F301" s="3">
        <v>2880</v>
      </c>
      <c r="G301" s="3">
        <v>27.44</v>
      </c>
      <c r="H301" s="3">
        <f t="shared" si="45"/>
        <v>-6.09</v>
      </c>
      <c r="I301" s="3">
        <v>79029</v>
      </c>
      <c r="J301" s="3" t="s">
        <v>1</v>
      </c>
      <c r="K301" s="3" t="s">
        <v>1</v>
      </c>
      <c r="L301" s="3" t="s">
        <v>1</v>
      </c>
      <c r="M301" s="4">
        <v>-17529.75</v>
      </c>
      <c r="N301" s="5">
        <v>0</v>
      </c>
      <c r="O301" t="str">
        <f t="shared" si="46"/>
        <v>BANKNIFTY</v>
      </c>
      <c r="P301" t="str">
        <f>IF(SEARCH("NIFTY",O301),RIGHT(A301,7),0)</f>
        <v>43800PE</v>
      </c>
      <c r="Q301">
        <f t="shared" ref="Q301:Q303" si="55">M301/C301</f>
        <v>-6.0867187500000002</v>
      </c>
      <c r="S301">
        <v>2.7444444444444445</v>
      </c>
    </row>
    <row r="302" spans="1:19" x14ac:dyDescent="0.3">
      <c r="A302" s="1" t="s">
        <v>301</v>
      </c>
      <c r="B302" s="2">
        <v>45064</v>
      </c>
      <c r="C302" s="3">
        <v>4000</v>
      </c>
      <c r="D302" s="3">
        <v>40.15</v>
      </c>
      <c r="E302" s="3">
        <v>160612.5</v>
      </c>
      <c r="F302" s="3">
        <v>4000</v>
      </c>
      <c r="G302" s="3">
        <v>40.64</v>
      </c>
      <c r="H302" s="3">
        <f t="shared" si="45"/>
        <v>0.49000000000000199</v>
      </c>
      <c r="I302" s="3">
        <v>162568.75</v>
      </c>
      <c r="J302" s="3" t="s">
        <v>1</v>
      </c>
      <c r="K302" s="3" t="s">
        <v>1</v>
      </c>
      <c r="L302" s="3" t="s">
        <v>1</v>
      </c>
      <c r="M302" s="5">
        <v>1956.25</v>
      </c>
      <c r="N302" s="5">
        <v>0</v>
      </c>
      <c r="O302" t="str">
        <f t="shared" si="46"/>
        <v>BANKNIFTY</v>
      </c>
      <c r="P302" t="str">
        <f>IF(SEARCH("NIFTY",O302),RIGHT(A302,7),0)</f>
        <v>43300PE</v>
      </c>
      <c r="Q302">
        <f t="shared" si="55"/>
        <v>0.48906250000000001</v>
      </c>
      <c r="S302">
        <v>2.7839622641509436</v>
      </c>
    </row>
    <row r="303" spans="1:19" x14ac:dyDescent="0.3">
      <c r="A303" s="1" t="s">
        <v>302</v>
      </c>
      <c r="B303" s="2">
        <v>45162</v>
      </c>
      <c r="C303" s="3">
        <v>1530</v>
      </c>
      <c r="D303" s="3">
        <v>11.25</v>
      </c>
      <c r="E303" s="3">
        <v>17212.5</v>
      </c>
      <c r="F303" s="3">
        <v>1530</v>
      </c>
      <c r="G303" s="3">
        <v>33.74</v>
      </c>
      <c r="H303" s="3">
        <f t="shared" si="45"/>
        <v>22.490000000000002</v>
      </c>
      <c r="I303" s="3">
        <v>51629.25</v>
      </c>
      <c r="J303" s="3" t="s">
        <v>1</v>
      </c>
      <c r="K303" s="3" t="s">
        <v>1</v>
      </c>
      <c r="L303" s="3" t="s">
        <v>1</v>
      </c>
      <c r="M303" s="5">
        <v>34416.75</v>
      </c>
      <c r="N303" s="5">
        <v>0</v>
      </c>
      <c r="O303" t="str">
        <f t="shared" si="46"/>
        <v>BANKNIFTY</v>
      </c>
      <c r="P303" t="str">
        <f>IF(SEARCH("NIFTY",O303),RIGHT(A303,7),0)</f>
        <v>45100CE</v>
      </c>
      <c r="Q303">
        <f t="shared" si="55"/>
        <v>22.494607843137256</v>
      </c>
      <c r="S303">
        <v>2.8062499999999999</v>
      </c>
    </row>
    <row r="304" spans="1:19" hidden="1" x14ac:dyDescent="0.3">
      <c r="A304" s="1" t="s">
        <v>303</v>
      </c>
      <c r="B304" s="2">
        <v>45034</v>
      </c>
      <c r="C304" s="3">
        <v>2360</v>
      </c>
      <c r="D304" s="3">
        <v>0.64</v>
      </c>
      <c r="E304" s="3">
        <v>1514</v>
      </c>
      <c r="F304" s="3">
        <v>2360</v>
      </c>
      <c r="G304" s="3">
        <v>0.47</v>
      </c>
      <c r="H304" s="3">
        <f t="shared" si="45"/>
        <v>-0.17000000000000004</v>
      </c>
      <c r="I304" s="3">
        <v>1106</v>
      </c>
      <c r="J304" s="3" t="s">
        <v>1</v>
      </c>
      <c r="K304" s="3" t="s">
        <v>1</v>
      </c>
      <c r="L304" s="3" t="s">
        <v>1</v>
      </c>
      <c r="M304" s="4">
        <v>-408</v>
      </c>
      <c r="N304" s="5">
        <v>0</v>
      </c>
      <c r="O304" t="str">
        <f t="shared" si="46"/>
        <v>FINNIFTY</v>
      </c>
      <c r="P304" t="str">
        <f>IF(SEARCH("NIFTY",O304),RIGHT(A304,7),0)</f>
        <v>18400PE</v>
      </c>
      <c r="S304">
        <v>2.8205357142857141</v>
      </c>
    </row>
    <row r="305" spans="1:19" hidden="1" x14ac:dyDescent="0.3">
      <c r="A305" s="1" t="s">
        <v>304</v>
      </c>
      <c r="B305" s="2">
        <v>45036</v>
      </c>
      <c r="C305" s="3">
        <v>3500</v>
      </c>
      <c r="D305" s="3">
        <v>0.94</v>
      </c>
      <c r="E305" s="3">
        <v>3300</v>
      </c>
      <c r="F305" s="3">
        <v>3500</v>
      </c>
      <c r="G305" s="3">
        <v>0.91</v>
      </c>
      <c r="H305" s="3">
        <f t="shared" si="45"/>
        <v>-2.9999999999999916E-2</v>
      </c>
      <c r="I305" s="3">
        <v>3175</v>
      </c>
      <c r="J305" s="3" t="s">
        <v>1</v>
      </c>
      <c r="K305" s="3" t="s">
        <v>1</v>
      </c>
      <c r="L305" s="3" t="s">
        <v>1</v>
      </c>
      <c r="M305" s="4">
        <v>-125</v>
      </c>
      <c r="N305" s="5">
        <v>0</v>
      </c>
      <c r="O305" t="str">
        <f t="shared" si="46"/>
        <v>NIFTY</v>
      </c>
      <c r="P305" t="str">
        <f>IF(SEARCH("NIFTY",O305),RIGHT(A305,7),0)</f>
        <v>17900CE</v>
      </c>
      <c r="S305">
        <v>2.8222222222222224</v>
      </c>
    </row>
    <row r="306" spans="1:19" x14ac:dyDescent="0.3">
      <c r="A306" s="1" t="s">
        <v>305</v>
      </c>
      <c r="B306" s="2">
        <v>45043</v>
      </c>
      <c r="C306" s="3">
        <v>1600</v>
      </c>
      <c r="D306" s="3">
        <v>40.36</v>
      </c>
      <c r="E306" s="3">
        <v>64573.75</v>
      </c>
      <c r="F306" s="3">
        <v>1600</v>
      </c>
      <c r="G306" s="3">
        <v>39.03</v>
      </c>
      <c r="H306" s="3">
        <f t="shared" si="45"/>
        <v>-1.3299999999999983</v>
      </c>
      <c r="I306" s="3">
        <v>62443.75</v>
      </c>
      <c r="J306" s="3" t="s">
        <v>1</v>
      </c>
      <c r="K306" s="3" t="s">
        <v>1</v>
      </c>
      <c r="L306" s="3" t="s">
        <v>1</v>
      </c>
      <c r="M306" s="4">
        <v>-2130</v>
      </c>
      <c r="N306" s="5">
        <v>0</v>
      </c>
      <c r="O306" t="str">
        <f t="shared" si="46"/>
        <v>BANKNIFTY</v>
      </c>
      <c r="P306" t="str">
        <f>IF(SEARCH("NIFTY",O306),RIGHT(A306,7),0)</f>
        <v>42300PE</v>
      </c>
      <c r="Q306">
        <f>M306/C306</f>
        <v>-1.33125</v>
      </c>
      <c r="S306">
        <v>2.8259615384615384</v>
      </c>
    </row>
    <row r="307" spans="1:19" hidden="1" x14ac:dyDescent="0.3">
      <c r="A307" s="1" t="s">
        <v>306</v>
      </c>
      <c r="B307" s="2">
        <v>45105</v>
      </c>
      <c r="C307" s="3">
        <v>6650</v>
      </c>
      <c r="D307" s="3">
        <v>5056.3500000000004</v>
      </c>
      <c r="E307" s="3">
        <v>33624701.25</v>
      </c>
      <c r="F307" s="3">
        <v>6650</v>
      </c>
      <c r="G307" s="3">
        <v>5050.84</v>
      </c>
      <c r="H307" s="3">
        <f t="shared" si="45"/>
        <v>-5.5100000000002183</v>
      </c>
      <c r="I307" s="3">
        <v>33588100</v>
      </c>
      <c r="J307" s="3" t="s">
        <v>1</v>
      </c>
      <c r="K307" s="3" t="s">
        <v>1</v>
      </c>
      <c r="L307" s="3" t="s">
        <v>1</v>
      </c>
      <c r="M307" s="4">
        <v>-36601.25</v>
      </c>
      <c r="N307" s="5">
        <v>0</v>
      </c>
      <c r="O307" t="e">
        <f t="shared" si="46"/>
        <v>#VALUE!</v>
      </c>
      <c r="P307" t="e">
        <f>IF(SEARCH("NIFTY",O307),RIGHT(A307,7),0)</f>
        <v>#VALUE!</v>
      </c>
      <c r="S307">
        <v>2.9034313725490195</v>
      </c>
    </row>
    <row r="308" spans="1:19" hidden="1" x14ac:dyDescent="0.3">
      <c r="A308" s="1" t="s">
        <v>307</v>
      </c>
      <c r="B308" s="2">
        <v>45057</v>
      </c>
      <c r="C308" s="3">
        <v>1500</v>
      </c>
      <c r="D308" s="3">
        <v>9.66</v>
      </c>
      <c r="E308" s="3">
        <v>14487.5</v>
      </c>
      <c r="F308" s="3">
        <v>1500</v>
      </c>
      <c r="G308" s="3">
        <v>8.4</v>
      </c>
      <c r="H308" s="3">
        <f t="shared" si="45"/>
        <v>-1.2599999999999998</v>
      </c>
      <c r="I308" s="3">
        <v>12600</v>
      </c>
      <c r="J308" s="3" t="s">
        <v>1</v>
      </c>
      <c r="K308" s="3" t="s">
        <v>1</v>
      </c>
      <c r="L308" s="3" t="s">
        <v>1</v>
      </c>
      <c r="M308" s="4">
        <v>-1887.5</v>
      </c>
      <c r="N308" s="5">
        <v>0</v>
      </c>
      <c r="O308" t="str">
        <f t="shared" si="46"/>
        <v>NIFTY</v>
      </c>
      <c r="P308" t="str">
        <f>IF(SEARCH("NIFTY",O308),RIGHT(A308,7),0)</f>
        <v>18000PE</v>
      </c>
      <c r="S308">
        <v>2.9456250000000002</v>
      </c>
    </row>
    <row r="309" spans="1:19" x14ac:dyDescent="0.3">
      <c r="A309" s="1" t="s">
        <v>308</v>
      </c>
      <c r="B309" s="2">
        <v>45169</v>
      </c>
      <c r="C309" s="3">
        <v>1440</v>
      </c>
      <c r="D309" s="3">
        <v>31.98</v>
      </c>
      <c r="E309" s="3">
        <v>46056</v>
      </c>
      <c r="F309" s="3">
        <v>1440</v>
      </c>
      <c r="G309" s="3">
        <v>25.85</v>
      </c>
      <c r="H309" s="3">
        <f t="shared" si="45"/>
        <v>-6.129999999999999</v>
      </c>
      <c r="I309" s="3">
        <v>37225.5</v>
      </c>
      <c r="J309" s="3" t="s">
        <v>1</v>
      </c>
      <c r="K309" s="3" t="s">
        <v>1</v>
      </c>
      <c r="L309" s="3" t="s">
        <v>1</v>
      </c>
      <c r="M309" s="4">
        <v>-8830.5</v>
      </c>
      <c r="N309" s="5">
        <v>0</v>
      </c>
      <c r="O309" t="str">
        <f t="shared" si="46"/>
        <v>BANKNIFTY</v>
      </c>
      <c r="P309" t="str">
        <f>IF(SEARCH("NIFTY",O309),RIGHT(A309,7),0)</f>
        <v>44200CE</v>
      </c>
      <c r="Q309">
        <f>M309/C309</f>
        <v>-6.1322916666666663</v>
      </c>
      <c r="S309">
        <v>2.9552083333333332</v>
      </c>
    </row>
    <row r="310" spans="1:19" hidden="1" x14ac:dyDescent="0.3">
      <c r="A310" s="1" t="s">
        <v>309</v>
      </c>
      <c r="B310" s="2">
        <v>45078</v>
      </c>
      <c r="C310" s="3">
        <v>17700</v>
      </c>
      <c r="D310" s="3">
        <v>11.07</v>
      </c>
      <c r="E310" s="3">
        <v>195962.5</v>
      </c>
      <c r="F310" s="3">
        <v>17700</v>
      </c>
      <c r="G310" s="3">
        <v>9.57</v>
      </c>
      <c r="H310" s="3">
        <f t="shared" si="45"/>
        <v>-1.5</v>
      </c>
      <c r="I310" s="3">
        <v>169410</v>
      </c>
      <c r="J310" s="3" t="s">
        <v>1</v>
      </c>
      <c r="K310" s="3" t="s">
        <v>1</v>
      </c>
      <c r="L310" s="3" t="s">
        <v>1</v>
      </c>
      <c r="M310" s="4">
        <v>-26552.5</v>
      </c>
      <c r="N310" s="5">
        <v>0</v>
      </c>
      <c r="O310" t="str">
        <f t="shared" si="46"/>
        <v>NIFTY</v>
      </c>
      <c r="P310" t="str">
        <f>IF(SEARCH("NIFTY",O310),RIGHT(A310,7),0)</f>
        <v>18500PE</v>
      </c>
      <c r="S310">
        <v>2.9651709401709403</v>
      </c>
    </row>
    <row r="311" spans="1:19" hidden="1" x14ac:dyDescent="0.3">
      <c r="A311" s="1" t="s">
        <v>310</v>
      </c>
      <c r="B311" s="2">
        <v>45162</v>
      </c>
      <c r="C311" s="3">
        <v>4500</v>
      </c>
      <c r="D311" s="3">
        <v>18.8</v>
      </c>
      <c r="E311" s="3">
        <v>84615</v>
      </c>
      <c r="F311" s="3">
        <v>4500</v>
      </c>
      <c r="G311" s="3">
        <v>23.17</v>
      </c>
      <c r="H311" s="3">
        <f t="shared" si="45"/>
        <v>4.370000000000001</v>
      </c>
      <c r="I311" s="3">
        <v>104250</v>
      </c>
      <c r="J311" s="3" t="s">
        <v>1</v>
      </c>
      <c r="K311" s="3" t="s">
        <v>1</v>
      </c>
      <c r="L311" s="3" t="s">
        <v>1</v>
      </c>
      <c r="M311" s="5">
        <v>19635</v>
      </c>
      <c r="N311" s="5">
        <v>0</v>
      </c>
      <c r="O311" t="str">
        <f t="shared" si="46"/>
        <v>NIFTY</v>
      </c>
      <c r="P311" t="str">
        <f>IF(SEARCH("NIFTY",O311),RIGHT(A311,7),0)</f>
        <v>19500CE</v>
      </c>
      <c r="S311">
        <v>3.1523809523809523</v>
      </c>
    </row>
    <row r="312" spans="1:19" x14ac:dyDescent="0.3">
      <c r="A312" s="1" t="s">
        <v>311</v>
      </c>
      <c r="B312" s="2">
        <v>45169</v>
      </c>
      <c r="C312" s="3">
        <v>495</v>
      </c>
      <c r="D312" s="3">
        <v>48</v>
      </c>
      <c r="E312" s="3">
        <v>23760</v>
      </c>
      <c r="F312" s="3">
        <v>495</v>
      </c>
      <c r="G312" s="3">
        <v>31.67</v>
      </c>
      <c r="H312" s="3">
        <f t="shared" si="45"/>
        <v>-16.329999999999998</v>
      </c>
      <c r="I312" s="3">
        <v>15678</v>
      </c>
      <c r="J312" s="3" t="s">
        <v>1</v>
      </c>
      <c r="K312" s="3" t="s">
        <v>1</v>
      </c>
      <c r="L312" s="3" t="s">
        <v>1</v>
      </c>
      <c r="M312" s="4">
        <v>-8082</v>
      </c>
      <c r="N312" s="5">
        <v>0</v>
      </c>
      <c r="O312" t="str">
        <f t="shared" si="46"/>
        <v>BANKNIFTY</v>
      </c>
      <c r="P312" t="str">
        <f>IF(SEARCH("NIFTY",O312),RIGHT(A312,7),0)</f>
        <v>43900PE</v>
      </c>
      <c r="Q312">
        <f t="shared" ref="Q312:Q314" si="56">M312/C312</f>
        <v>-16.327272727272728</v>
      </c>
      <c r="S312">
        <v>3.1653409090909093</v>
      </c>
    </row>
    <row r="313" spans="1:19" x14ac:dyDescent="0.3">
      <c r="A313" s="1" t="s">
        <v>312</v>
      </c>
      <c r="B313" s="2">
        <v>45064</v>
      </c>
      <c r="C313" s="3">
        <v>750</v>
      </c>
      <c r="D313" s="3">
        <v>53</v>
      </c>
      <c r="E313" s="3">
        <v>39750</v>
      </c>
      <c r="F313" s="3">
        <v>750</v>
      </c>
      <c r="G313" s="3">
        <v>44.4</v>
      </c>
      <c r="H313" s="3">
        <f t="shared" si="45"/>
        <v>-8.6000000000000014</v>
      </c>
      <c r="I313" s="3">
        <v>33298.75</v>
      </c>
      <c r="J313" s="3" t="s">
        <v>1</v>
      </c>
      <c r="K313" s="3" t="s">
        <v>1</v>
      </c>
      <c r="L313" s="3" t="s">
        <v>1</v>
      </c>
      <c r="M313" s="4">
        <v>-6451.25</v>
      </c>
      <c r="N313" s="5">
        <v>0</v>
      </c>
      <c r="O313" t="str">
        <f t="shared" si="46"/>
        <v>BANKNIFTY</v>
      </c>
      <c r="P313" t="str">
        <f>IF(SEARCH("NIFTY",O313),RIGHT(A313,7),0)</f>
        <v>43800PE</v>
      </c>
      <c r="Q313">
        <f t="shared" si="56"/>
        <v>-8.6016666666666666</v>
      </c>
      <c r="S313">
        <v>3.1803571428571429</v>
      </c>
    </row>
    <row r="314" spans="1:19" x14ac:dyDescent="0.3">
      <c r="A314" s="1" t="s">
        <v>313</v>
      </c>
      <c r="B314" s="2">
        <v>45099</v>
      </c>
      <c r="C314" s="3">
        <v>7900</v>
      </c>
      <c r="D314" s="3">
        <v>27.65</v>
      </c>
      <c r="E314" s="3">
        <v>218433.75</v>
      </c>
      <c r="F314" s="3">
        <v>7900</v>
      </c>
      <c r="G314" s="3">
        <v>25.43</v>
      </c>
      <c r="H314" s="3">
        <f t="shared" si="45"/>
        <v>-2.2199999999999989</v>
      </c>
      <c r="I314" s="3">
        <v>200930</v>
      </c>
      <c r="J314" s="3" t="s">
        <v>1</v>
      </c>
      <c r="K314" s="3" t="s">
        <v>1</v>
      </c>
      <c r="L314" s="3" t="s">
        <v>1</v>
      </c>
      <c r="M314" s="4">
        <v>-17503.75</v>
      </c>
      <c r="N314" s="5">
        <v>0</v>
      </c>
      <c r="O314" t="str">
        <f t="shared" si="46"/>
        <v>BANKNIFTY</v>
      </c>
      <c r="P314" t="str">
        <f>IF(SEARCH("NIFTY",O314),RIGHT(A314,7),0)</f>
        <v>44200CE</v>
      </c>
      <c r="Q314">
        <f t="shared" si="56"/>
        <v>-2.2156645569620252</v>
      </c>
      <c r="S314">
        <v>3.3027777777777776</v>
      </c>
    </row>
    <row r="315" spans="1:19" hidden="1" x14ac:dyDescent="0.3">
      <c r="A315" s="1" t="s">
        <v>314</v>
      </c>
      <c r="B315" s="2">
        <v>45085</v>
      </c>
      <c r="C315" s="3">
        <v>5000</v>
      </c>
      <c r="D315" s="3">
        <v>2.67</v>
      </c>
      <c r="E315" s="3">
        <v>13340</v>
      </c>
      <c r="F315" s="3">
        <v>5000</v>
      </c>
      <c r="G315" s="3">
        <v>3.97</v>
      </c>
      <c r="H315" s="3">
        <f t="shared" si="45"/>
        <v>1.3000000000000003</v>
      </c>
      <c r="I315" s="3">
        <v>19850</v>
      </c>
      <c r="J315" s="3" t="s">
        <v>1</v>
      </c>
      <c r="K315" s="3" t="s">
        <v>1</v>
      </c>
      <c r="L315" s="3" t="s">
        <v>1</v>
      </c>
      <c r="M315" s="5">
        <v>6510</v>
      </c>
      <c r="N315" s="5">
        <v>0</v>
      </c>
      <c r="O315" t="str">
        <f t="shared" si="46"/>
        <v>NIFTY</v>
      </c>
      <c r="P315" t="str">
        <f>IF(SEARCH("NIFTY",O315),RIGHT(A315,7),0)</f>
        <v>18600PE</v>
      </c>
      <c r="S315">
        <v>3.3423076923076924</v>
      </c>
    </row>
    <row r="316" spans="1:19" x14ac:dyDescent="0.3">
      <c r="A316" s="1" t="s">
        <v>315</v>
      </c>
      <c r="B316" s="2">
        <v>45092</v>
      </c>
      <c r="C316" s="3">
        <v>4300</v>
      </c>
      <c r="D316" s="3">
        <v>47.38</v>
      </c>
      <c r="E316" s="3">
        <v>203752.5</v>
      </c>
      <c r="F316" s="3">
        <v>4300</v>
      </c>
      <c r="G316" s="3">
        <v>45.79</v>
      </c>
      <c r="H316" s="3">
        <f t="shared" si="45"/>
        <v>-1.5900000000000034</v>
      </c>
      <c r="I316" s="3">
        <v>196880</v>
      </c>
      <c r="J316" s="3" t="s">
        <v>1</v>
      </c>
      <c r="K316" s="3" t="s">
        <v>1</v>
      </c>
      <c r="L316" s="3" t="s">
        <v>1</v>
      </c>
      <c r="M316" s="4">
        <v>-6872.5</v>
      </c>
      <c r="N316" s="5">
        <v>0</v>
      </c>
      <c r="O316" t="str">
        <f t="shared" si="46"/>
        <v>BANKNIFTY</v>
      </c>
      <c r="P316" t="str">
        <f>IF(SEARCH("NIFTY",O316),RIGHT(A316,7),0)</f>
        <v>44600CE</v>
      </c>
      <c r="Q316">
        <f t="shared" ref="Q316:Q318" si="57">M316/C316</f>
        <v>-1.5982558139534884</v>
      </c>
      <c r="S316">
        <v>3.4</v>
      </c>
    </row>
    <row r="317" spans="1:19" x14ac:dyDescent="0.3">
      <c r="A317" s="1" t="s">
        <v>316</v>
      </c>
      <c r="B317" s="2">
        <v>45105</v>
      </c>
      <c r="C317" s="3">
        <v>750</v>
      </c>
      <c r="D317" s="3">
        <v>4.3499999999999996</v>
      </c>
      <c r="E317" s="3">
        <v>3262.5</v>
      </c>
      <c r="F317" s="3">
        <v>750</v>
      </c>
      <c r="G317" s="3">
        <v>4.5</v>
      </c>
      <c r="H317" s="3">
        <f t="shared" si="45"/>
        <v>0.15000000000000036</v>
      </c>
      <c r="I317" s="3">
        <v>3375</v>
      </c>
      <c r="J317" s="3" t="s">
        <v>1</v>
      </c>
      <c r="K317" s="3" t="s">
        <v>1</v>
      </c>
      <c r="L317" s="3" t="s">
        <v>1</v>
      </c>
      <c r="M317" s="5">
        <v>112.5</v>
      </c>
      <c r="N317" s="5">
        <v>0</v>
      </c>
      <c r="O317" t="str">
        <f t="shared" si="46"/>
        <v>BANKNIFTY</v>
      </c>
      <c r="P317" t="str">
        <f>IF(SEARCH("NIFTY",O317),RIGHT(A317,7),0)</f>
        <v>43200PE</v>
      </c>
      <c r="Q317">
        <f t="shared" si="57"/>
        <v>0.15</v>
      </c>
      <c r="S317">
        <v>3.4293103448275861</v>
      </c>
    </row>
    <row r="318" spans="1:19" x14ac:dyDescent="0.3">
      <c r="A318" s="1" t="s">
        <v>317</v>
      </c>
      <c r="B318" s="2">
        <v>45105</v>
      </c>
      <c r="C318" s="3">
        <v>475</v>
      </c>
      <c r="D318" s="3">
        <v>138.47999999999999</v>
      </c>
      <c r="E318" s="3">
        <v>65778.75</v>
      </c>
      <c r="F318" s="3">
        <v>475</v>
      </c>
      <c r="G318" s="3">
        <v>63.4</v>
      </c>
      <c r="H318" s="3">
        <f t="shared" si="45"/>
        <v>-75.079999999999984</v>
      </c>
      <c r="I318" s="3">
        <v>30115</v>
      </c>
      <c r="J318" s="3" t="s">
        <v>1</v>
      </c>
      <c r="K318" s="3" t="s">
        <v>1</v>
      </c>
      <c r="L318" s="3" t="s">
        <v>1</v>
      </c>
      <c r="M318" s="4">
        <v>-35663.75</v>
      </c>
      <c r="N318" s="5">
        <v>0</v>
      </c>
      <c r="O318" t="str">
        <f t="shared" si="46"/>
        <v>BANKNIFTY</v>
      </c>
      <c r="P318" t="str">
        <f>IF(SEARCH("NIFTY",O318),RIGHT(A318,7),0)</f>
        <v>44000CE</v>
      </c>
      <c r="Q318">
        <f t="shared" si="57"/>
        <v>-75.081578947368428</v>
      </c>
      <c r="S318">
        <v>3.4322784810126583</v>
      </c>
    </row>
    <row r="319" spans="1:19" hidden="1" x14ac:dyDescent="0.3">
      <c r="A319" s="1" t="s">
        <v>318</v>
      </c>
      <c r="B319" s="2">
        <v>45160</v>
      </c>
      <c r="C319" s="3">
        <v>6040</v>
      </c>
      <c r="D319" s="3">
        <v>8.36</v>
      </c>
      <c r="E319" s="3">
        <v>50470</v>
      </c>
      <c r="F319" s="3">
        <v>6040</v>
      </c>
      <c r="G319" s="3">
        <v>11.95</v>
      </c>
      <c r="H319" s="3">
        <f t="shared" si="45"/>
        <v>3.59</v>
      </c>
      <c r="I319" s="3">
        <v>72204</v>
      </c>
      <c r="J319" s="3" t="s">
        <v>1</v>
      </c>
      <c r="K319" s="3" t="s">
        <v>1</v>
      </c>
      <c r="L319" s="3" t="s">
        <v>1</v>
      </c>
      <c r="M319" s="5">
        <v>21734</v>
      </c>
      <c r="N319" s="5">
        <v>0</v>
      </c>
      <c r="O319" t="str">
        <f t="shared" si="46"/>
        <v>FINNIFTY</v>
      </c>
      <c r="P319" t="str">
        <f>IF(SEARCH("NIFTY",O319),RIGHT(A319,7),0)</f>
        <v>19600CE</v>
      </c>
      <c r="S319">
        <v>3.5387499999999998</v>
      </c>
    </row>
    <row r="320" spans="1:19" x14ac:dyDescent="0.3">
      <c r="A320" s="1" t="s">
        <v>319</v>
      </c>
      <c r="B320" s="2">
        <v>45169</v>
      </c>
      <c r="C320" s="3">
        <v>495</v>
      </c>
      <c r="D320" s="3">
        <v>6.1</v>
      </c>
      <c r="E320" s="3">
        <v>3019.5</v>
      </c>
      <c r="F320" s="3">
        <v>495</v>
      </c>
      <c r="G320" s="3">
        <v>4.8</v>
      </c>
      <c r="H320" s="3">
        <f t="shared" si="45"/>
        <v>-1.2999999999999998</v>
      </c>
      <c r="I320" s="3">
        <v>2376</v>
      </c>
      <c r="J320" s="3" t="s">
        <v>1</v>
      </c>
      <c r="K320" s="3" t="s">
        <v>1</v>
      </c>
      <c r="L320" s="3" t="s">
        <v>1</v>
      </c>
      <c r="M320" s="4">
        <v>-643.5</v>
      </c>
      <c r="N320" s="5">
        <v>0</v>
      </c>
      <c r="O320" t="str">
        <f t="shared" si="46"/>
        <v>BANKNIFTY</v>
      </c>
      <c r="P320" t="str">
        <f>IF(SEARCH("NIFTY",O320),RIGHT(A320,7),0)</f>
        <v>43600PE</v>
      </c>
      <c r="Q320">
        <f t="shared" ref="Q320:Q321" si="58">M320/C320</f>
        <v>-1.3</v>
      </c>
      <c r="S320">
        <v>3.55</v>
      </c>
    </row>
    <row r="321" spans="1:19" x14ac:dyDescent="0.3">
      <c r="A321" s="1" t="s">
        <v>320</v>
      </c>
      <c r="B321" s="2">
        <v>45099</v>
      </c>
      <c r="C321" s="3">
        <v>6400</v>
      </c>
      <c r="D321" s="3">
        <v>33.5</v>
      </c>
      <c r="E321" s="3">
        <v>214395</v>
      </c>
      <c r="F321" s="3">
        <v>6400</v>
      </c>
      <c r="G321" s="3">
        <v>31.07</v>
      </c>
      <c r="H321" s="3">
        <f t="shared" si="45"/>
        <v>-2.4299999999999997</v>
      </c>
      <c r="I321" s="3">
        <v>198862.5</v>
      </c>
      <c r="J321" s="3" t="s">
        <v>1</v>
      </c>
      <c r="K321" s="3" t="s">
        <v>1</v>
      </c>
      <c r="L321" s="3" t="s">
        <v>1</v>
      </c>
      <c r="M321" s="4">
        <v>-15532.5</v>
      </c>
      <c r="N321" s="5">
        <v>0</v>
      </c>
      <c r="O321" t="str">
        <f t="shared" si="46"/>
        <v>BANKNIFTY</v>
      </c>
      <c r="P321" t="str">
        <f>IF(SEARCH("NIFTY",O321),RIGHT(A321,7),0)</f>
        <v>43400PE</v>
      </c>
      <c r="Q321">
        <f t="shared" si="58"/>
        <v>-2.4269531249999998</v>
      </c>
      <c r="S321">
        <v>3.5580357142857144</v>
      </c>
    </row>
    <row r="322" spans="1:19" hidden="1" x14ac:dyDescent="0.3">
      <c r="A322" s="1" t="s">
        <v>321</v>
      </c>
      <c r="B322" s="2">
        <v>45057</v>
      </c>
      <c r="C322" s="3">
        <v>1200</v>
      </c>
      <c r="D322" s="3">
        <v>50.7</v>
      </c>
      <c r="E322" s="3">
        <v>60845</v>
      </c>
      <c r="F322" s="3">
        <v>1200</v>
      </c>
      <c r="G322" s="3">
        <v>42.38</v>
      </c>
      <c r="H322" s="3">
        <f t="shared" si="45"/>
        <v>-8.32</v>
      </c>
      <c r="I322" s="3">
        <v>50860</v>
      </c>
      <c r="J322" s="3" t="s">
        <v>1</v>
      </c>
      <c r="K322" s="3" t="s">
        <v>1</v>
      </c>
      <c r="L322" s="3" t="s">
        <v>1</v>
      </c>
      <c r="M322" s="4">
        <v>-9985</v>
      </c>
      <c r="N322" s="5">
        <v>0</v>
      </c>
      <c r="O322" t="str">
        <f t="shared" si="46"/>
        <v>NIFTY</v>
      </c>
      <c r="P322" t="str">
        <f>IF(SEARCH("NIFTY",O322),RIGHT(A322,7),0)</f>
        <v>18250CE</v>
      </c>
      <c r="S322">
        <v>3.5887500000000001</v>
      </c>
    </row>
    <row r="323" spans="1:19" x14ac:dyDescent="0.3">
      <c r="A323" s="1" t="s">
        <v>322</v>
      </c>
      <c r="B323" s="2">
        <v>45071</v>
      </c>
      <c r="C323" s="3">
        <v>525</v>
      </c>
      <c r="D323" s="3">
        <v>45.97</v>
      </c>
      <c r="E323" s="3">
        <v>24136.25</v>
      </c>
      <c r="F323" s="3">
        <v>525</v>
      </c>
      <c r="G323" s="3">
        <v>34.67</v>
      </c>
      <c r="H323" s="3">
        <f t="shared" ref="H323:H386" si="59">G323-D323</f>
        <v>-11.299999999999997</v>
      </c>
      <c r="I323" s="3">
        <v>18201.25</v>
      </c>
      <c r="J323" s="3" t="s">
        <v>1</v>
      </c>
      <c r="K323" s="3" t="s">
        <v>1</v>
      </c>
      <c r="L323" s="3" t="s">
        <v>1</v>
      </c>
      <c r="M323" s="4">
        <v>-5935</v>
      </c>
      <c r="N323" s="5">
        <v>0</v>
      </c>
      <c r="O323" t="str">
        <f t="shared" ref="O323:O386" si="60">LEFT(A323, FIND("NIFTY", A323) +4)</f>
        <v>BANKNIFTY</v>
      </c>
      <c r="P323" t="str">
        <f>IF(SEARCH("NIFTY",O323),RIGHT(A323,7),0)</f>
        <v>43500PE</v>
      </c>
      <c r="Q323">
        <f>M323/C323</f>
        <v>-11.304761904761905</v>
      </c>
      <c r="S323">
        <v>3.5892857142857144</v>
      </c>
    </row>
    <row r="324" spans="1:19" hidden="1" x14ac:dyDescent="0.3">
      <c r="A324" s="1" t="s">
        <v>323</v>
      </c>
      <c r="B324" s="2">
        <v>45057</v>
      </c>
      <c r="C324" s="3">
        <v>1500</v>
      </c>
      <c r="D324" s="3">
        <v>8.4600000000000009</v>
      </c>
      <c r="E324" s="3">
        <v>12687.5</v>
      </c>
      <c r="F324" s="3">
        <v>1500</v>
      </c>
      <c r="G324" s="3">
        <v>8.8699999999999992</v>
      </c>
      <c r="H324" s="3">
        <f t="shared" si="59"/>
        <v>0.40999999999999837</v>
      </c>
      <c r="I324" s="3">
        <v>13300</v>
      </c>
      <c r="J324" s="3" t="s">
        <v>1</v>
      </c>
      <c r="K324" s="3" t="s">
        <v>1</v>
      </c>
      <c r="L324" s="3" t="s">
        <v>1</v>
      </c>
      <c r="M324" s="5">
        <v>612.5</v>
      </c>
      <c r="N324" s="5">
        <v>0</v>
      </c>
      <c r="O324" t="str">
        <f t="shared" si="60"/>
        <v>NIFTY</v>
      </c>
      <c r="P324" t="str">
        <f>IF(SEARCH("NIFTY",O324),RIGHT(A324,7),0)</f>
        <v>18500CE</v>
      </c>
      <c r="S324">
        <v>3.6333333333333333</v>
      </c>
    </row>
    <row r="325" spans="1:19" x14ac:dyDescent="0.3">
      <c r="A325" s="1" t="s">
        <v>324</v>
      </c>
      <c r="B325" s="2">
        <v>45105</v>
      </c>
      <c r="C325" s="3">
        <v>1875</v>
      </c>
      <c r="D325" s="3">
        <v>48.53</v>
      </c>
      <c r="E325" s="3">
        <v>90992.5</v>
      </c>
      <c r="F325" s="3">
        <v>1875</v>
      </c>
      <c r="G325" s="3">
        <v>44.07</v>
      </c>
      <c r="H325" s="3">
        <f t="shared" si="59"/>
        <v>-4.4600000000000009</v>
      </c>
      <c r="I325" s="3">
        <v>82632.5</v>
      </c>
      <c r="J325" s="3" t="s">
        <v>1</v>
      </c>
      <c r="K325" s="3" t="s">
        <v>1</v>
      </c>
      <c r="L325" s="3" t="s">
        <v>1</v>
      </c>
      <c r="M325" s="4">
        <v>-8360</v>
      </c>
      <c r="N325" s="5">
        <v>0</v>
      </c>
      <c r="O325" t="str">
        <f t="shared" si="60"/>
        <v>BANKNIFTY</v>
      </c>
      <c r="P325" t="str">
        <f>IF(SEARCH("NIFTY",O325),RIGHT(A325,7),0)</f>
        <v>44300CE</v>
      </c>
      <c r="Q325">
        <f>M325/C325</f>
        <v>-4.4586666666666668</v>
      </c>
      <c r="S325">
        <v>3.7160714285714285</v>
      </c>
    </row>
    <row r="326" spans="1:19" hidden="1" x14ac:dyDescent="0.3">
      <c r="A326" s="1" t="s">
        <v>325</v>
      </c>
      <c r="B326" s="2">
        <v>45160</v>
      </c>
      <c r="C326" s="3">
        <v>1200</v>
      </c>
      <c r="D326" s="3">
        <v>11.95</v>
      </c>
      <c r="E326" s="3">
        <v>14340</v>
      </c>
      <c r="F326" s="3">
        <v>1200</v>
      </c>
      <c r="G326" s="3">
        <v>12</v>
      </c>
      <c r="H326" s="3">
        <f t="shared" si="59"/>
        <v>5.0000000000000711E-2</v>
      </c>
      <c r="I326" s="3">
        <v>14400</v>
      </c>
      <c r="J326" s="3" t="s">
        <v>1</v>
      </c>
      <c r="K326" s="3" t="s">
        <v>1</v>
      </c>
      <c r="L326" s="3" t="s">
        <v>1</v>
      </c>
      <c r="M326" s="5">
        <v>60</v>
      </c>
      <c r="N326" s="5">
        <v>0</v>
      </c>
      <c r="O326" t="str">
        <f t="shared" si="60"/>
        <v>FINNIFTY</v>
      </c>
      <c r="P326" t="str">
        <f>IF(SEARCH("NIFTY",O326),RIGHT(A326,7),0)</f>
        <v>19700CE</v>
      </c>
      <c r="S326">
        <v>3.7646739130434783</v>
      </c>
    </row>
    <row r="327" spans="1:19" x14ac:dyDescent="0.3">
      <c r="A327" s="1" t="s">
        <v>326</v>
      </c>
      <c r="B327" s="2">
        <v>45120</v>
      </c>
      <c r="C327" s="3">
        <v>525</v>
      </c>
      <c r="D327" s="3">
        <v>64.459999999999994</v>
      </c>
      <c r="E327" s="3">
        <v>33843.75</v>
      </c>
      <c r="F327" s="3">
        <v>525</v>
      </c>
      <c r="G327" s="3">
        <v>75.39</v>
      </c>
      <c r="H327" s="3">
        <f t="shared" si="59"/>
        <v>10.930000000000007</v>
      </c>
      <c r="I327" s="3">
        <v>39580</v>
      </c>
      <c r="J327" s="3" t="s">
        <v>1</v>
      </c>
      <c r="K327" s="3" t="s">
        <v>1</v>
      </c>
      <c r="L327" s="3" t="s">
        <v>1</v>
      </c>
      <c r="M327" s="5">
        <v>5736.25</v>
      </c>
      <c r="N327" s="5">
        <v>0</v>
      </c>
      <c r="O327" t="str">
        <f t="shared" si="60"/>
        <v>BANKNIFTY</v>
      </c>
      <c r="P327" t="str">
        <f>IF(SEARCH("NIFTY",O327),RIGHT(A327,7),0)</f>
        <v>44500PE</v>
      </c>
      <c r="Q327">
        <f>M327/C327</f>
        <v>10.926190476190476</v>
      </c>
      <c r="S327">
        <v>3.9151785714285716</v>
      </c>
    </row>
    <row r="328" spans="1:19" hidden="1" x14ac:dyDescent="0.3">
      <c r="A328" s="1" t="s">
        <v>327</v>
      </c>
      <c r="B328" s="2">
        <v>45097</v>
      </c>
      <c r="C328" s="3">
        <v>1200</v>
      </c>
      <c r="D328" s="3">
        <v>12.6</v>
      </c>
      <c r="E328" s="3">
        <v>15120</v>
      </c>
      <c r="F328" s="3">
        <v>1200</v>
      </c>
      <c r="G328" s="3">
        <v>7.25</v>
      </c>
      <c r="H328" s="3">
        <f t="shared" si="59"/>
        <v>-5.35</v>
      </c>
      <c r="I328" s="3">
        <v>8700</v>
      </c>
      <c r="J328" s="3" t="s">
        <v>1</v>
      </c>
      <c r="K328" s="3" t="s">
        <v>1</v>
      </c>
      <c r="L328" s="3" t="s">
        <v>1</v>
      </c>
      <c r="M328" s="4">
        <v>-6420</v>
      </c>
      <c r="N328" s="5">
        <v>0</v>
      </c>
      <c r="O328" t="str">
        <f t="shared" si="60"/>
        <v>FINNIFTY</v>
      </c>
      <c r="P328" t="str">
        <f>IF(SEARCH("NIFTY",O328),RIGHT(A328,7),0)</f>
        <v>19650CE</v>
      </c>
      <c r="S328">
        <v>3.95</v>
      </c>
    </row>
    <row r="329" spans="1:19" x14ac:dyDescent="0.3">
      <c r="A329" s="1" t="s">
        <v>328</v>
      </c>
      <c r="B329" s="2">
        <v>45127</v>
      </c>
      <c r="C329" s="3">
        <v>1400</v>
      </c>
      <c r="D329" s="3">
        <v>6.4</v>
      </c>
      <c r="E329" s="3">
        <v>8966.25</v>
      </c>
      <c r="F329" s="3">
        <v>1400</v>
      </c>
      <c r="G329" s="3">
        <v>7.09</v>
      </c>
      <c r="H329" s="3">
        <f t="shared" si="59"/>
        <v>0.6899999999999995</v>
      </c>
      <c r="I329" s="3">
        <v>9932.5</v>
      </c>
      <c r="J329" s="3" t="s">
        <v>1</v>
      </c>
      <c r="K329" s="3" t="s">
        <v>1</v>
      </c>
      <c r="L329" s="3" t="s">
        <v>1</v>
      </c>
      <c r="M329" s="5">
        <v>966.25</v>
      </c>
      <c r="N329" s="5">
        <v>0</v>
      </c>
      <c r="O329" t="str">
        <f t="shared" si="60"/>
        <v>BANKNIFTY</v>
      </c>
      <c r="P329" t="str">
        <f>IF(SEARCH("NIFTY",O329),RIGHT(A329,7),0)</f>
        <v>42100PE</v>
      </c>
      <c r="Q329">
        <f t="shared" ref="Q329:Q331" si="61">M329/C329</f>
        <v>0.69017857142857142</v>
      </c>
      <c r="S329">
        <v>3.95</v>
      </c>
    </row>
    <row r="330" spans="1:19" x14ac:dyDescent="0.3">
      <c r="A330" s="1" t="s">
        <v>329</v>
      </c>
      <c r="B330" s="2">
        <v>45120</v>
      </c>
      <c r="C330" s="3">
        <v>275</v>
      </c>
      <c r="D330" s="3">
        <v>11.35</v>
      </c>
      <c r="E330" s="3">
        <v>3121.25</v>
      </c>
      <c r="F330" s="3">
        <v>275</v>
      </c>
      <c r="G330" s="3">
        <v>11.6</v>
      </c>
      <c r="H330" s="3">
        <f t="shared" si="59"/>
        <v>0.25</v>
      </c>
      <c r="I330" s="3">
        <v>3190</v>
      </c>
      <c r="J330" s="3" t="s">
        <v>1</v>
      </c>
      <c r="K330" s="3" t="s">
        <v>1</v>
      </c>
      <c r="L330" s="3" t="s">
        <v>1</v>
      </c>
      <c r="M330" s="5">
        <v>68.75</v>
      </c>
      <c r="N330" s="5">
        <v>0</v>
      </c>
      <c r="O330" t="str">
        <f t="shared" si="60"/>
        <v>BANKNIFTY</v>
      </c>
      <c r="P330" t="str">
        <f>IF(SEARCH("NIFTY",O330),RIGHT(A330,7),0)</f>
        <v>43000PE</v>
      </c>
      <c r="Q330">
        <f t="shared" si="61"/>
        <v>0.25</v>
      </c>
      <c r="S330">
        <v>3.9727272727272727</v>
      </c>
    </row>
    <row r="331" spans="1:19" x14ac:dyDescent="0.3">
      <c r="A331" s="1" t="s">
        <v>330</v>
      </c>
      <c r="B331" s="2">
        <v>45043</v>
      </c>
      <c r="C331" s="3">
        <v>2200</v>
      </c>
      <c r="D331" s="3">
        <v>32.08</v>
      </c>
      <c r="E331" s="3">
        <v>70583.75</v>
      </c>
      <c r="F331" s="3">
        <v>2200</v>
      </c>
      <c r="G331" s="3">
        <v>34.89</v>
      </c>
      <c r="H331" s="3">
        <f t="shared" si="59"/>
        <v>2.8100000000000023</v>
      </c>
      <c r="I331" s="3">
        <v>76757.5</v>
      </c>
      <c r="J331" s="3" t="s">
        <v>1</v>
      </c>
      <c r="K331" s="3" t="s">
        <v>1</v>
      </c>
      <c r="L331" s="3" t="s">
        <v>1</v>
      </c>
      <c r="M331" s="5">
        <v>6173.75</v>
      </c>
      <c r="N331" s="5">
        <v>0</v>
      </c>
      <c r="O331" t="str">
        <f t="shared" si="60"/>
        <v>BANKNIFTY</v>
      </c>
      <c r="P331" t="str">
        <f>IF(SEARCH("NIFTY",O331),RIGHT(A331,7),0)</f>
        <v>42400PE</v>
      </c>
      <c r="Q331">
        <f t="shared" si="61"/>
        <v>2.8062499999999999</v>
      </c>
      <c r="S331">
        <v>4.0187499999999998</v>
      </c>
    </row>
    <row r="332" spans="1:19" hidden="1" x14ac:dyDescent="0.3">
      <c r="A332" s="1" t="s">
        <v>331</v>
      </c>
      <c r="B332" s="2">
        <v>45050</v>
      </c>
      <c r="C332" s="3">
        <v>11000</v>
      </c>
      <c r="D332" s="3">
        <v>1.58</v>
      </c>
      <c r="E332" s="3">
        <v>17425</v>
      </c>
      <c r="F332" s="3">
        <v>11000</v>
      </c>
      <c r="G332" s="3">
        <v>2.09</v>
      </c>
      <c r="H332" s="3">
        <f t="shared" si="59"/>
        <v>0.50999999999999979</v>
      </c>
      <c r="I332" s="3">
        <v>23040</v>
      </c>
      <c r="J332" s="3" t="s">
        <v>1</v>
      </c>
      <c r="K332" s="3" t="s">
        <v>1</v>
      </c>
      <c r="L332" s="3" t="s">
        <v>1</v>
      </c>
      <c r="M332" s="5">
        <v>5615</v>
      </c>
      <c r="N332" s="5">
        <v>0</v>
      </c>
      <c r="O332" t="str">
        <f t="shared" si="60"/>
        <v>NIFTY</v>
      </c>
      <c r="P332" t="str">
        <f>IF(SEARCH("NIFTY",O332),RIGHT(A332,7),0)</f>
        <v>18250CE</v>
      </c>
      <c r="S332">
        <v>4.0426470588235297</v>
      </c>
    </row>
    <row r="333" spans="1:19" x14ac:dyDescent="0.3">
      <c r="A333" s="1" t="s">
        <v>332</v>
      </c>
      <c r="B333" s="2">
        <v>45071</v>
      </c>
      <c r="C333" s="3">
        <v>400</v>
      </c>
      <c r="D333" s="3">
        <v>6.15</v>
      </c>
      <c r="E333" s="3">
        <v>2460</v>
      </c>
      <c r="F333" s="3">
        <v>400</v>
      </c>
      <c r="G333" s="3">
        <v>5.9</v>
      </c>
      <c r="H333" s="3">
        <f t="shared" si="59"/>
        <v>-0.25</v>
      </c>
      <c r="I333" s="3">
        <v>2360</v>
      </c>
      <c r="J333" s="3" t="s">
        <v>1</v>
      </c>
      <c r="K333" s="3" t="s">
        <v>1</v>
      </c>
      <c r="L333" s="3" t="s">
        <v>1</v>
      </c>
      <c r="M333" s="4">
        <v>-100</v>
      </c>
      <c r="N333" s="5">
        <v>0</v>
      </c>
      <c r="O333" t="str">
        <f t="shared" si="60"/>
        <v>BANKNIFTY</v>
      </c>
      <c r="P333" t="str">
        <f>IF(SEARCH("NIFTY",O333),RIGHT(A333,7),0)</f>
        <v>42400PE</v>
      </c>
      <c r="Q333">
        <f>M333/C333</f>
        <v>-0.25</v>
      </c>
      <c r="S333">
        <v>4.3</v>
      </c>
    </row>
    <row r="334" spans="1:19" hidden="1" x14ac:dyDescent="0.3">
      <c r="A334" s="1" t="s">
        <v>333</v>
      </c>
      <c r="B334" s="2">
        <v>45169</v>
      </c>
      <c r="C334" s="3">
        <v>750000</v>
      </c>
      <c r="D334" s="3">
        <v>82.65</v>
      </c>
      <c r="E334" s="3">
        <v>61986750</v>
      </c>
      <c r="F334" s="3">
        <v>750000</v>
      </c>
      <c r="G334" s="3">
        <v>85.83</v>
      </c>
      <c r="H334" s="3">
        <f t="shared" si="59"/>
        <v>3.1799999999999926</v>
      </c>
      <c r="I334" s="3">
        <v>64374000</v>
      </c>
      <c r="J334" s="3" t="s">
        <v>1</v>
      </c>
      <c r="K334" s="3" t="s">
        <v>1</v>
      </c>
      <c r="L334" s="3" t="s">
        <v>1</v>
      </c>
      <c r="M334" s="5">
        <v>2387250</v>
      </c>
      <c r="N334" s="5">
        <v>0</v>
      </c>
      <c r="O334" t="e">
        <f t="shared" si="60"/>
        <v>#VALUE!</v>
      </c>
      <c r="P334" t="e">
        <f>IF(SEARCH("NIFTY",O334),RIGHT(A334,7),0)</f>
        <v>#VALUE!</v>
      </c>
      <c r="S334">
        <v>4.3769230769230774</v>
      </c>
    </row>
    <row r="335" spans="1:19" x14ac:dyDescent="0.3">
      <c r="A335" s="1" t="s">
        <v>334</v>
      </c>
      <c r="B335" s="2">
        <v>45127</v>
      </c>
      <c r="C335" s="3">
        <v>900</v>
      </c>
      <c r="D335" s="3">
        <v>8.1999999999999993</v>
      </c>
      <c r="E335" s="3">
        <v>7377.5</v>
      </c>
      <c r="F335" s="3">
        <v>900</v>
      </c>
      <c r="G335" s="3">
        <v>5.86</v>
      </c>
      <c r="H335" s="3">
        <f t="shared" si="59"/>
        <v>-2.339999999999999</v>
      </c>
      <c r="I335" s="3">
        <v>5275</v>
      </c>
      <c r="J335" s="3" t="s">
        <v>1</v>
      </c>
      <c r="K335" s="3" t="s">
        <v>1</v>
      </c>
      <c r="L335" s="3" t="s">
        <v>1</v>
      </c>
      <c r="M335" s="4">
        <v>-2102.5</v>
      </c>
      <c r="N335" s="5">
        <v>0</v>
      </c>
      <c r="O335" t="str">
        <f t="shared" si="60"/>
        <v>BANKNIFTY</v>
      </c>
      <c r="P335" t="str">
        <f>IF(SEARCH("NIFTY",O335),RIGHT(A335,7),0)</f>
        <v>41900PE</v>
      </c>
      <c r="Q335">
        <f t="shared" ref="Q335:Q336" si="62">M335/C335</f>
        <v>-2.3361111111111112</v>
      </c>
      <c r="S335">
        <v>4.3843023255813955</v>
      </c>
    </row>
    <row r="336" spans="1:19" x14ac:dyDescent="0.3">
      <c r="A336" s="1" t="s">
        <v>335</v>
      </c>
      <c r="B336" s="2">
        <v>45105</v>
      </c>
      <c r="C336" s="3">
        <v>250</v>
      </c>
      <c r="D336" s="3">
        <v>21.75</v>
      </c>
      <c r="E336" s="3">
        <v>5437.5</v>
      </c>
      <c r="F336" s="3">
        <v>250</v>
      </c>
      <c r="G336" s="3">
        <v>23.4</v>
      </c>
      <c r="H336" s="3">
        <f t="shared" si="59"/>
        <v>1.6499999999999986</v>
      </c>
      <c r="I336" s="3">
        <v>5850</v>
      </c>
      <c r="J336" s="3" t="s">
        <v>1</v>
      </c>
      <c r="K336" s="3" t="s">
        <v>1</v>
      </c>
      <c r="L336" s="3" t="s">
        <v>1</v>
      </c>
      <c r="M336" s="5">
        <v>412.5</v>
      </c>
      <c r="N336" s="5">
        <v>0</v>
      </c>
      <c r="O336" t="str">
        <f t="shared" si="60"/>
        <v>BANKNIFTY</v>
      </c>
      <c r="P336" t="str">
        <f>IF(SEARCH("NIFTY",O336),RIGHT(A336,7),0)</f>
        <v>44600CE</v>
      </c>
      <c r="Q336">
        <f t="shared" si="62"/>
        <v>1.65</v>
      </c>
      <c r="S336">
        <v>4.4078947368421053</v>
      </c>
    </row>
    <row r="337" spans="1:19" hidden="1" x14ac:dyDescent="0.3">
      <c r="A337" s="1" t="s">
        <v>336</v>
      </c>
      <c r="B337" s="2">
        <v>45071</v>
      </c>
      <c r="C337" s="3">
        <v>700</v>
      </c>
      <c r="D337" s="3">
        <v>2.75</v>
      </c>
      <c r="E337" s="3">
        <v>1925</v>
      </c>
      <c r="F337" s="3">
        <v>700</v>
      </c>
      <c r="G337" s="3">
        <v>7</v>
      </c>
      <c r="H337" s="3">
        <f t="shared" si="59"/>
        <v>4.25</v>
      </c>
      <c r="I337" s="3">
        <v>4900</v>
      </c>
      <c r="J337" s="3" t="s">
        <v>1</v>
      </c>
      <c r="K337" s="3" t="s">
        <v>1</v>
      </c>
      <c r="L337" s="3" t="s">
        <v>1</v>
      </c>
      <c r="M337" s="5">
        <v>2975</v>
      </c>
      <c r="N337" s="5">
        <v>0</v>
      </c>
      <c r="O337" t="e">
        <f t="shared" si="60"/>
        <v>#VALUE!</v>
      </c>
      <c r="P337" t="e">
        <f>IF(SEARCH("NIFTY",O337),RIGHT(A337,7),0)</f>
        <v>#VALUE!</v>
      </c>
      <c r="S337">
        <v>4.4124999999999996</v>
      </c>
    </row>
    <row r="338" spans="1:19" x14ac:dyDescent="0.3">
      <c r="A338" s="1" t="s">
        <v>337</v>
      </c>
      <c r="B338" s="2">
        <v>45050</v>
      </c>
      <c r="C338" s="3">
        <v>4800</v>
      </c>
      <c r="D338" s="3">
        <v>6.85</v>
      </c>
      <c r="E338" s="3">
        <v>32873.75</v>
      </c>
      <c r="F338" s="3">
        <v>4800</v>
      </c>
      <c r="G338" s="3">
        <v>6.86</v>
      </c>
      <c r="H338" s="3">
        <f t="shared" si="59"/>
        <v>1.0000000000000675E-2</v>
      </c>
      <c r="I338" s="3">
        <v>32937.5</v>
      </c>
      <c r="J338" s="3" t="s">
        <v>1</v>
      </c>
      <c r="K338" s="3" t="s">
        <v>1</v>
      </c>
      <c r="L338" s="3" t="s">
        <v>1</v>
      </c>
      <c r="M338" s="5">
        <v>63.75</v>
      </c>
      <c r="N338" s="5">
        <v>0</v>
      </c>
      <c r="O338" t="str">
        <f t="shared" si="60"/>
        <v>BANKNIFTY</v>
      </c>
      <c r="P338" t="str">
        <f>IF(SEARCH("NIFTY",O338),RIGHT(A338,7),0)</f>
        <v>43700PE</v>
      </c>
      <c r="Q338">
        <f t="shared" ref="Q338:Q340" si="63">M338/C338</f>
        <v>1.328125E-2</v>
      </c>
      <c r="S338">
        <v>4.5</v>
      </c>
    </row>
    <row r="339" spans="1:19" x14ac:dyDescent="0.3">
      <c r="A339" s="1" t="s">
        <v>338</v>
      </c>
      <c r="B339" s="2">
        <v>45162</v>
      </c>
      <c r="C339" s="3">
        <v>2115</v>
      </c>
      <c r="D339" s="3">
        <v>62.6</v>
      </c>
      <c r="E339" s="3">
        <v>132399</v>
      </c>
      <c r="F339" s="3">
        <v>2115</v>
      </c>
      <c r="G339" s="3">
        <v>37.28</v>
      </c>
      <c r="H339" s="3">
        <f t="shared" si="59"/>
        <v>-25.32</v>
      </c>
      <c r="I339" s="3">
        <v>78843</v>
      </c>
      <c r="J339" s="3" t="s">
        <v>1</v>
      </c>
      <c r="K339" s="3" t="s">
        <v>1</v>
      </c>
      <c r="L339" s="3" t="s">
        <v>1</v>
      </c>
      <c r="M339" s="4">
        <v>-53556</v>
      </c>
      <c r="N339" s="5">
        <v>0</v>
      </c>
      <c r="O339" t="str">
        <f t="shared" si="60"/>
        <v>BANKNIFTY</v>
      </c>
      <c r="P339" t="str">
        <f>IF(SEARCH("NIFTY",O339),RIGHT(A339,7),0)</f>
        <v>44600PE</v>
      </c>
      <c r="Q339">
        <f t="shared" si="63"/>
        <v>-25.321985815602837</v>
      </c>
      <c r="S339">
        <v>4.5275862068965518</v>
      </c>
    </row>
    <row r="340" spans="1:19" x14ac:dyDescent="0.3">
      <c r="A340" s="1" t="s">
        <v>339</v>
      </c>
      <c r="B340" s="2">
        <v>45085</v>
      </c>
      <c r="C340" s="3">
        <v>3750</v>
      </c>
      <c r="D340" s="3">
        <v>24.52</v>
      </c>
      <c r="E340" s="3">
        <v>91936.25</v>
      </c>
      <c r="F340" s="3">
        <v>3750</v>
      </c>
      <c r="G340" s="3">
        <v>20.46</v>
      </c>
      <c r="H340" s="3">
        <f t="shared" si="59"/>
        <v>-4.0599999999999987</v>
      </c>
      <c r="I340" s="3">
        <v>76712.5</v>
      </c>
      <c r="J340" s="3" t="s">
        <v>1</v>
      </c>
      <c r="K340" s="3" t="s">
        <v>1</v>
      </c>
      <c r="L340" s="3" t="s">
        <v>1</v>
      </c>
      <c r="M340" s="4">
        <v>-15223.75</v>
      </c>
      <c r="N340" s="5">
        <v>0</v>
      </c>
      <c r="O340" t="str">
        <f t="shared" si="60"/>
        <v>BANKNIFTY</v>
      </c>
      <c r="P340" t="str">
        <f>IF(SEARCH("NIFTY",O340),RIGHT(A340,7),0)</f>
        <v>44100PE</v>
      </c>
      <c r="Q340">
        <f t="shared" si="63"/>
        <v>-4.0596666666666668</v>
      </c>
      <c r="S340">
        <v>4.572916666666667</v>
      </c>
    </row>
    <row r="341" spans="1:19" hidden="1" x14ac:dyDescent="0.3">
      <c r="A341" s="1" t="s">
        <v>340</v>
      </c>
      <c r="B341" s="2">
        <v>45134</v>
      </c>
      <c r="C341" s="3">
        <v>1000</v>
      </c>
      <c r="D341" s="3">
        <v>5.2</v>
      </c>
      <c r="E341" s="3">
        <v>5200</v>
      </c>
      <c r="F341" s="3">
        <v>1000</v>
      </c>
      <c r="G341" s="3">
        <v>4.8499999999999996</v>
      </c>
      <c r="H341" s="3">
        <f t="shared" si="59"/>
        <v>-0.35000000000000053</v>
      </c>
      <c r="I341" s="3">
        <v>4850</v>
      </c>
      <c r="J341" s="3" t="s">
        <v>1</v>
      </c>
      <c r="K341" s="3" t="s">
        <v>1</v>
      </c>
      <c r="L341" s="3" t="s">
        <v>1</v>
      </c>
      <c r="M341" s="4">
        <v>-350</v>
      </c>
      <c r="N341" s="5">
        <v>0</v>
      </c>
      <c r="O341" t="str">
        <f t="shared" si="60"/>
        <v>NIFTY</v>
      </c>
      <c r="P341" t="str">
        <f>IF(SEARCH("NIFTY",O341),RIGHT(A341,7),0)</f>
        <v>20150CE</v>
      </c>
      <c r="S341">
        <v>4.5999999999999996</v>
      </c>
    </row>
    <row r="342" spans="1:19" hidden="1" x14ac:dyDescent="0.3">
      <c r="A342" s="1" t="s">
        <v>341</v>
      </c>
      <c r="B342" s="2">
        <v>45097</v>
      </c>
      <c r="C342" s="3">
        <v>1200</v>
      </c>
      <c r="D342" s="3">
        <v>39.9</v>
      </c>
      <c r="E342" s="3">
        <v>47880</v>
      </c>
      <c r="F342" s="3">
        <v>1200</v>
      </c>
      <c r="G342" s="3">
        <v>132.05000000000001</v>
      </c>
      <c r="H342" s="3">
        <f t="shared" si="59"/>
        <v>92.15</v>
      </c>
      <c r="I342" s="3">
        <v>158464</v>
      </c>
      <c r="J342" s="3" t="s">
        <v>1</v>
      </c>
      <c r="K342" s="3" t="s">
        <v>1</v>
      </c>
      <c r="L342" s="3" t="s">
        <v>1</v>
      </c>
      <c r="M342" s="5">
        <v>110584</v>
      </c>
      <c r="N342" s="5">
        <v>0</v>
      </c>
      <c r="O342" t="str">
        <f t="shared" si="60"/>
        <v>FINNIFTY</v>
      </c>
      <c r="P342" t="str">
        <f>IF(SEARCH("NIFTY",O342),RIGHT(A342,7),0)</f>
        <v>19400PE</v>
      </c>
      <c r="S342">
        <v>4.614975845410628</v>
      </c>
    </row>
    <row r="343" spans="1:19" x14ac:dyDescent="0.3">
      <c r="A343" s="1" t="s">
        <v>342</v>
      </c>
      <c r="B343" s="2">
        <v>45057</v>
      </c>
      <c r="C343" s="3">
        <v>1300</v>
      </c>
      <c r="D343" s="3">
        <v>21.06</v>
      </c>
      <c r="E343" s="3">
        <v>27380</v>
      </c>
      <c r="F343" s="3">
        <v>1300</v>
      </c>
      <c r="G343" s="3">
        <v>25.44</v>
      </c>
      <c r="H343" s="3">
        <f t="shared" si="59"/>
        <v>4.3800000000000026</v>
      </c>
      <c r="I343" s="3">
        <v>33070</v>
      </c>
      <c r="J343" s="3" t="s">
        <v>1</v>
      </c>
      <c r="K343" s="3" t="s">
        <v>1</v>
      </c>
      <c r="L343" s="3" t="s">
        <v>1</v>
      </c>
      <c r="M343" s="5">
        <v>5690</v>
      </c>
      <c r="N343" s="5">
        <v>0</v>
      </c>
      <c r="O343" t="str">
        <f t="shared" si="60"/>
        <v>BANKNIFTY</v>
      </c>
      <c r="P343" t="str">
        <f>IF(SEARCH("NIFTY",O343),RIGHT(A343,7),0)</f>
        <v>41800PE</v>
      </c>
      <c r="Q343">
        <f t="shared" ref="Q343:Q345" si="64">M343/C343</f>
        <v>4.3769230769230774</v>
      </c>
      <c r="S343">
        <v>4.7725</v>
      </c>
    </row>
    <row r="344" spans="1:19" x14ac:dyDescent="0.3">
      <c r="A344" s="1" t="s">
        <v>343</v>
      </c>
      <c r="B344" s="2">
        <v>45113</v>
      </c>
      <c r="C344" s="3">
        <v>500</v>
      </c>
      <c r="D344" s="3">
        <v>21.2</v>
      </c>
      <c r="E344" s="3">
        <v>10600</v>
      </c>
      <c r="F344" s="3">
        <v>500</v>
      </c>
      <c r="G344" s="3">
        <v>21.61</v>
      </c>
      <c r="H344" s="3">
        <f t="shared" si="59"/>
        <v>0.41000000000000014</v>
      </c>
      <c r="I344" s="3">
        <v>10806.25</v>
      </c>
      <c r="J344" s="3" t="s">
        <v>1</v>
      </c>
      <c r="K344" s="3" t="s">
        <v>1</v>
      </c>
      <c r="L344" s="3" t="s">
        <v>1</v>
      </c>
      <c r="M344" s="5">
        <v>206.25</v>
      </c>
      <c r="N344" s="5">
        <v>0</v>
      </c>
      <c r="O344" t="str">
        <f t="shared" si="60"/>
        <v>BANKNIFTY</v>
      </c>
      <c r="P344" t="str">
        <f>IF(SEARCH("NIFTY",O344),RIGHT(A344,7),0)</f>
        <v>46300CE</v>
      </c>
      <c r="Q344">
        <f t="shared" si="64"/>
        <v>0.41249999999999998</v>
      </c>
      <c r="S344">
        <v>4.8902777777777775</v>
      </c>
    </row>
    <row r="345" spans="1:19" x14ac:dyDescent="0.3">
      <c r="A345" s="1" t="s">
        <v>344</v>
      </c>
      <c r="B345" s="2">
        <v>45071</v>
      </c>
      <c r="C345" s="3">
        <v>400</v>
      </c>
      <c r="D345" s="3">
        <v>25.95</v>
      </c>
      <c r="E345" s="3">
        <v>10380</v>
      </c>
      <c r="F345" s="3">
        <v>400</v>
      </c>
      <c r="G345" s="3">
        <v>35.56</v>
      </c>
      <c r="H345" s="3">
        <f t="shared" si="59"/>
        <v>9.610000000000003</v>
      </c>
      <c r="I345" s="3">
        <v>14222.5</v>
      </c>
      <c r="J345" s="3" t="s">
        <v>1</v>
      </c>
      <c r="K345" s="3" t="s">
        <v>1</v>
      </c>
      <c r="L345" s="3" t="s">
        <v>1</v>
      </c>
      <c r="M345" s="5">
        <v>3842.5</v>
      </c>
      <c r="N345" s="5">
        <v>0</v>
      </c>
      <c r="O345" t="str">
        <f t="shared" si="60"/>
        <v>BANKNIFTY</v>
      </c>
      <c r="P345" t="str">
        <f>IF(SEARCH("NIFTY",O345),RIGHT(A345,7),0)</f>
        <v>42800PE</v>
      </c>
      <c r="Q345">
        <f t="shared" si="64"/>
        <v>9.6062499999999993</v>
      </c>
      <c r="S345">
        <v>4.957575757575758</v>
      </c>
    </row>
    <row r="346" spans="1:19" hidden="1" x14ac:dyDescent="0.3">
      <c r="A346" s="1" t="s">
        <v>345</v>
      </c>
      <c r="B346" s="2">
        <v>45197</v>
      </c>
      <c r="C346" s="3">
        <v>8550</v>
      </c>
      <c r="D346" s="3">
        <v>618.75</v>
      </c>
      <c r="E346" s="3">
        <v>5290312.5</v>
      </c>
      <c r="F346" s="3">
        <v>8550</v>
      </c>
      <c r="G346" s="3">
        <v>618.79999999999995</v>
      </c>
      <c r="H346" s="3">
        <f t="shared" si="59"/>
        <v>4.9999999999954525E-2</v>
      </c>
      <c r="I346" s="3">
        <v>5290740</v>
      </c>
      <c r="J346" s="3" t="s">
        <v>1</v>
      </c>
      <c r="K346" s="3" t="s">
        <v>1</v>
      </c>
      <c r="L346" s="3" t="s">
        <v>1</v>
      </c>
      <c r="M346" s="5">
        <v>427.5</v>
      </c>
      <c r="N346" s="5">
        <v>0</v>
      </c>
      <c r="O346" t="e">
        <f t="shared" si="60"/>
        <v>#VALUE!</v>
      </c>
      <c r="P346" t="e">
        <f>IF(SEARCH("NIFTY",O346),RIGHT(A346,7),0)</f>
        <v>#VALUE!</v>
      </c>
      <c r="S346">
        <v>4.99</v>
      </c>
    </row>
    <row r="347" spans="1:19" hidden="1" x14ac:dyDescent="0.3">
      <c r="A347" s="1" t="s">
        <v>346</v>
      </c>
      <c r="B347" s="2">
        <v>45169</v>
      </c>
      <c r="C347" s="3">
        <v>1101</v>
      </c>
      <c r="D347" s="3">
        <v>2039.95</v>
      </c>
      <c r="E347" s="3">
        <v>2245984.9500000002</v>
      </c>
      <c r="F347" s="3">
        <v>1101</v>
      </c>
      <c r="G347" s="3">
        <v>2011</v>
      </c>
      <c r="H347" s="3">
        <f t="shared" si="59"/>
        <v>-28.950000000000045</v>
      </c>
      <c r="I347" s="3">
        <v>2214111</v>
      </c>
      <c r="J347" s="3" t="s">
        <v>1</v>
      </c>
      <c r="K347" s="3" t="s">
        <v>1</v>
      </c>
      <c r="L347" s="3" t="s">
        <v>1</v>
      </c>
      <c r="M347" s="4">
        <v>-31873.95</v>
      </c>
      <c r="N347" s="5">
        <v>0</v>
      </c>
      <c r="O347" t="e">
        <f t="shared" si="60"/>
        <v>#VALUE!</v>
      </c>
      <c r="P347" t="e">
        <f>IF(SEARCH("NIFTY",O347),RIGHT(A347,7),0)</f>
        <v>#VALUE!</v>
      </c>
      <c r="S347">
        <v>5.1520833333333336</v>
      </c>
    </row>
    <row r="348" spans="1:19" x14ac:dyDescent="0.3">
      <c r="A348" s="1" t="s">
        <v>347</v>
      </c>
      <c r="B348" s="2">
        <v>45162</v>
      </c>
      <c r="C348" s="3">
        <v>540</v>
      </c>
      <c r="D348" s="3">
        <v>28.7</v>
      </c>
      <c r="E348" s="3">
        <v>15498</v>
      </c>
      <c r="F348" s="3">
        <v>540</v>
      </c>
      <c r="G348" s="3">
        <v>30.61</v>
      </c>
      <c r="H348" s="3">
        <f t="shared" si="59"/>
        <v>1.9100000000000001</v>
      </c>
      <c r="I348" s="3">
        <v>16530</v>
      </c>
      <c r="J348" s="3" t="s">
        <v>1</v>
      </c>
      <c r="K348" s="3" t="s">
        <v>1</v>
      </c>
      <c r="L348" s="3" t="s">
        <v>1</v>
      </c>
      <c r="M348" s="5">
        <v>1032</v>
      </c>
      <c r="N348" s="5">
        <v>0</v>
      </c>
      <c r="O348" t="str">
        <f t="shared" si="60"/>
        <v>BANKNIFTY</v>
      </c>
      <c r="P348" t="str">
        <f>IF(SEARCH("NIFTY",O348),RIGHT(A348,7),0)</f>
        <v>42800PE</v>
      </c>
      <c r="Q348">
        <f t="shared" ref="Q348:Q349" si="65">M348/C348</f>
        <v>1.9111111111111112</v>
      </c>
      <c r="S348">
        <v>5.2225000000000001</v>
      </c>
    </row>
    <row r="349" spans="1:19" x14ac:dyDescent="0.3">
      <c r="A349" s="1" t="s">
        <v>348</v>
      </c>
      <c r="B349" s="2">
        <v>45043</v>
      </c>
      <c r="C349" s="3">
        <v>400</v>
      </c>
      <c r="D349" s="3">
        <v>170</v>
      </c>
      <c r="E349" s="3">
        <v>68000</v>
      </c>
      <c r="F349" s="3">
        <v>400</v>
      </c>
      <c r="G349" s="3">
        <v>156.56</v>
      </c>
      <c r="H349" s="3">
        <f t="shared" si="59"/>
        <v>-13.439999999999998</v>
      </c>
      <c r="I349" s="3">
        <v>62625</v>
      </c>
      <c r="J349" s="3" t="s">
        <v>1</v>
      </c>
      <c r="K349" s="3" t="s">
        <v>1</v>
      </c>
      <c r="L349" s="3" t="s">
        <v>1</v>
      </c>
      <c r="M349" s="4">
        <v>-5375</v>
      </c>
      <c r="N349" s="5">
        <v>0</v>
      </c>
      <c r="O349" t="str">
        <f t="shared" si="60"/>
        <v>BANKNIFTY</v>
      </c>
      <c r="P349" t="str">
        <f>IF(SEARCH("NIFTY",O349),RIGHT(A349,7),0)</f>
        <v>42500CE</v>
      </c>
      <c r="Q349">
        <f t="shared" si="65"/>
        <v>-13.4375</v>
      </c>
      <c r="S349">
        <v>5.3191176470588237</v>
      </c>
    </row>
    <row r="350" spans="1:19" hidden="1" x14ac:dyDescent="0.3">
      <c r="A350" s="1" t="s">
        <v>349</v>
      </c>
      <c r="B350" s="2">
        <v>45043</v>
      </c>
      <c r="C350" s="3">
        <v>5900</v>
      </c>
      <c r="D350" s="3">
        <v>11.32</v>
      </c>
      <c r="E350" s="3">
        <v>66777.5</v>
      </c>
      <c r="F350" s="3">
        <v>5900</v>
      </c>
      <c r="G350" s="3">
        <v>18.059999999999999</v>
      </c>
      <c r="H350" s="3">
        <f t="shared" si="59"/>
        <v>6.7399999999999984</v>
      </c>
      <c r="I350" s="3">
        <v>106577.5</v>
      </c>
      <c r="J350" s="3" t="s">
        <v>1</v>
      </c>
      <c r="K350" s="3" t="s">
        <v>1</v>
      </c>
      <c r="L350" s="3" t="s">
        <v>1</v>
      </c>
      <c r="M350" s="5">
        <v>39800</v>
      </c>
      <c r="N350" s="5">
        <v>0</v>
      </c>
      <c r="O350" t="str">
        <f t="shared" si="60"/>
        <v>NIFTY</v>
      </c>
      <c r="P350" t="str">
        <f>IF(SEARCH("NIFTY",O350),RIGHT(A350,7),0)</f>
        <v>17900PE</v>
      </c>
      <c r="S350">
        <v>5.3375000000000004</v>
      </c>
    </row>
    <row r="351" spans="1:19" x14ac:dyDescent="0.3">
      <c r="A351" s="1" t="s">
        <v>350</v>
      </c>
      <c r="B351" s="2">
        <v>45036</v>
      </c>
      <c r="C351" s="3">
        <v>7000</v>
      </c>
      <c r="D351" s="3">
        <v>33.28</v>
      </c>
      <c r="E351" s="3">
        <v>232931.25</v>
      </c>
      <c r="F351" s="3">
        <v>7000</v>
      </c>
      <c r="G351" s="3">
        <v>34.11</v>
      </c>
      <c r="H351" s="3">
        <f t="shared" si="59"/>
        <v>0.82999999999999829</v>
      </c>
      <c r="I351" s="3">
        <v>238751.25</v>
      </c>
      <c r="J351" s="3" t="s">
        <v>1</v>
      </c>
      <c r="K351" s="3" t="s">
        <v>1</v>
      </c>
      <c r="L351" s="3" t="s">
        <v>1</v>
      </c>
      <c r="M351" s="5">
        <v>5820</v>
      </c>
      <c r="N351" s="5">
        <v>0</v>
      </c>
      <c r="O351" t="str">
        <f t="shared" si="60"/>
        <v>BANKNIFTY</v>
      </c>
      <c r="P351" t="str">
        <f>IF(SEARCH("NIFTY",O351),RIGHT(A351,7),0)</f>
        <v>41700PE</v>
      </c>
      <c r="Q351">
        <f>M351/C351</f>
        <v>0.83142857142857141</v>
      </c>
      <c r="S351">
        <v>5.3724999999999996</v>
      </c>
    </row>
    <row r="352" spans="1:19" hidden="1" x14ac:dyDescent="0.3">
      <c r="A352" s="1" t="s">
        <v>351</v>
      </c>
      <c r="B352" s="2">
        <v>45050</v>
      </c>
      <c r="C352" s="3">
        <v>15100</v>
      </c>
      <c r="D352" s="3">
        <v>11.22</v>
      </c>
      <c r="E352" s="3">
        <v>169375</v>
      </c>
      <c r="F352" s="3">
        <v>15100</v>
      </c>
      <c r="G352" s="3">
        <v>8.3800000000000008</v>
      </c>
      <c r="H352" s="3">
        <f t="shared" si="59"/>
        <v>-2.84</v>
      </c>
      <c r="I352" s="3">
        <v>126467.5</v>
      </c>
      <c r="J352" s="3" t="s">
        <v>1</v>
      </c>
      <c r="K352" s="3" t="s">
        <v>1</v>
      </c>
      <c r="L352" s="3" t="s">
        <v>1</v>
      </c>
      <c r="M352" s="4">
        <v>-42907.5</v>
      </c>
      <c r="N352" s="5">
        <v>0</v>
      </c>
      <c r="O352" t="str">
        <f t="shared" si="60"/>
        <v>NIFTY</v>
      </c>
      <c r="P352" t="str">
        <f>IF(SEARCH("NIFTY",O352),RIGHT(A352,7),0)</f>
        <v>18200CE</v>
      </c>
      <c r="S352">
        <v>5.4</v>
      </c>
    </row>
    <row r="353" spans="1:19" x14ac:dyDescent="0.3">
      <c r="A353" s="1" t="s">
        <v>352</v>
      </c>
      <c r="B353" s="2">
        <v>45105</v>
      </c>
      <c r="C353" s="3">
        <v>3250</v>
      </c>
      <c r="D353" s="3">
        <v>7.52</v>
      </c>
      <c r="E353" s="3">
        <v>24448.75</v>
      </c>
      <c r="F353" s="3">
        <v>3250</v>
      </c>
      <c r="G353" s="3">
        <v>6.48</v>
      </c>
      <c r="H353" s="3">
        <f t="shared" si="59"/>
        <v>-1.0399999999999991</v>
      </c>
      <c r="I353" s="3">
        <v>21055</v>
      </c>
      <c r="J353" s="3" t="s">
        <v>1</v>
      </c>
      <c r="K353" s="3" t="s">
        <v>1</v>
      </c>
      <c r="L353" s="3" t="s">
        <v>1</v>
      </c>
      <c r="M353" s="4">
        <v>-3393.75</v>
      </c>
      <c r="N353" s="5">
        <v>0</v>
      </c>
      <c r="O353" t="str">
        <f t="shared" si="60"/>
        <v>BANKNIFTY</v>
      </c>
      <c r="P353" t="str">
        <f>IF(SEARCH("NIFTY",O353),RIGHT(A353,7),0)</f>
        <v>43500PE</v>
      </c>
      <c r="Q353">
        <f t="shared" ref="Q353:Q354" si="66">M353/C353</f>
        <v>-1.0442307692307693</v>
      </c>
      <c r="S353">
        <v>5.4333333333333336</v>
      </c>
    </row>
    <row r="354" spans="1:19" x14ac:dyDescent="0.3">
      <c r="A354" s="1" t="s">
        <v>353</v>
      </c>
      <c r="B354" s="2">
        <v>45127</v>
      </c>
      <c r="C354" s="3">
        <v>600</v>
      </c>
      <c r="D354" s="3">
        <v>19.72</v>
      </c>
      <c r="E354" s="3">
        <v>11830</v>
      </c>
      <c r="F354" s="3">
        <v>600</v>
      </c>
      <c r="G354" s="3">
        <v>27</v>
      </c>
      <c r="H354" s="3">
        <f t="shared" si="59"/>
        <v>7.2800000000000011</v>
      </c>
      <c r="I354" s="3">
        <v>16200</v>
      </c>
      <c r="J354" s="3" t="s">
        <v>1</v>
      </c>
      <c r="K354" s="3" t="s">
        <v>1</v>
      </c>
      <c r="L354" s="3" t="s">
        <v>1</v>
      </c>
      <c r="M354" s="5">
        <v>4370</v>
      </c>
      <c r="N354" s="5">
        <v>0</v>
      </c>
      <c r="O354" t="str">
        <f t="shared" si="60"/>
        <v>BANKNIFTY</v>
      </c>
      <c r="P354" t="str">
        <f>IF(SEARCH("NIFTY",O354),RIGHT(A354,7),0)</f>
        <v>45200PE</v>
      </c>
      <c r="Q354">
        <f t="shared" si="66"/>
        <v>7.2833333333333332</v>
      </c>
      <c r="S354">
        <v>5.4441391941391943</v>
      </c>
    </row>
    <row r="355" spans="1:19" hidden="1" x14ac:dyDescent="0.3">
      <c r="A355" s="1" t="s">
        <v>354</v>
      </c>
      <c r="B355" s="2">
        <v>45055</v>
      </c>
      <c r="C355" s="3">
        <v>1600</v>
      </c>
      <c r="D355" s="3">
        <v>2</v>
      </c>
      <c r="E355" s="3">
        <v>3200</v>
      </c>
      <c r="F355" s="3">
        <v>1600</v>
      </c>
      <c r="G355" s="3">
        <v>1.05</v>
      </c>
      <c r="H355" s="3">
        <f t="shared" si="59"/>
        <v>-0.95</v>
      </c>
      <c r="I355" s="3">
        <v>1680</v>
      </c>
      <c r="J355" s="3" t="s">
        <v>1</v>
      </c>
      <c r="K355" s="3" t="s">
        <v>1</v>
      </c>
      <c r="L355" s="3" t="s">
        <v>1</v>
      </c>
      <c r="M355" s="4">
        <v>-1520</v>
      </c>
      <c r="N355" s="5">
        <v>0</v>
      </c>
      <c r="O355" t="str">
        <f t="shared" si="60"/>
        <v>FINNIFTY</v>
      </c>
      <c r="P355" t="str">
        <f>IF(SEARCH("NIFTY",O355),RIGHT(A355,7),0)</f>
        <v>19150PE</v>
      </c>
      <c r="S355">
        <v>5.45</v>
      </c>
    </row>
    <row r="356" spans="1:19" x14ac:dyDescent="0.3">
      <c r="A356" s="1" t="s">
        <v>355</v>
      </c>
      <c r="B356" s="2">
        <v>45162</v>
      </c>
      <c r="C356" s="3">
        <v>4905</v>
      </c>
      <c r="D356" s="3">
        <v>18.260000000000002</v>
      </c>
      <c r="E356" s="3">
        <v>89555.25</v>
      </c>
      <c r="F356" s="3">
        <v>4905</v>
      </c>
      <c r="G356" s="3">
        <v>18.53</v>
      </c>
      <c r="H356" s="3">
        <f t="shared" si="59"/>
        <v>0.26999999999999957</v>
      </c>
      <c r="I356" s="3">
        <v>90899.25</v>
      </c>
      <c r="J356" s="3" t="s">
        <v>1</v>
      </c>
      <c r="K356" s="3" t="s">
        <v>1</v>
      </c>
      <c r="L356" s="3" t="s">
        <v>1</v>
      </c>
      <c r="M356" s="5">
        <v>1344</v>
      </c>
      <c r="N356" s="5">
        <v>0</v>
      </c>
      <c r="O356" t="str">
        <f t="shared" si="60"/>
        <v>BANKNIFTY</v>
      </c>
      <c r="P356" t="str">
        <f>IF(SEARCH("NIFTY",O356),RIGHT(A356,7),0)</f>
        <v>45000CE</v>
      </c>
      <c r="Q356">
        <f t="shared" ref="Q356:Q357" si="67">M356/C356</f>
        <v>0.27400611620795107</v>
      </c>
      <c r="S356">
        <v>5.4937500000000004</v>
      </c>
    </row>
    <row r="357" spans="1:19" x14ac:dyDescent="0.3">
      <c r="A357" s="1" t="s">
        <v>356</v>
      </c>
      <c r="B357" s="2">
        <v>45120</v>
      </c>
      <c r="C357" s="3">
        <v>400</v>
      </c>
      <c r="D357" s="3">
        <v>370</v>
      </c>
      <c r="E357" s="3">
        <v>148000</v>
      </c>
      <c r="F357" s="3">
        <v>400</v>
      </c>
      <c r="G357" s="3">
        <v>362.68</v>
      </c>
      <c r="H357" s="3">
        <f t="shared" si="59"/>
        <v>-7.3199999999999932</v>
      </c>
      <c r="I357" s="3">
        <v>145072.5</v>
      </c>
      <c r="J357" s="3" t="s">
        <v>1</v>
      </c>
      <c r="K357" s="3" t="s">
        <v>1</v>
      </c>
      <c r="L357" s="3" t="s">
        <v>1</v>
      </c>
      <c r="M357" s="4">
        <v>-2927.5</v>
      </c>
      <c r="N357" s="5">
        <v>0</v>
      </c>
      <c r="O357" t="str">
        <f t="shared" si="60"/>
        <v>BANKNIFTY</v>
      </c>
      <c r="P357" t="str">
        <f>IF(SEARCH("NIFTY",O357),RIGHT(A357,7),0)</f>
        <v>45200PE</v>
      </c>
      <c r="Q357">
        <f t="shared" si="67"/>
        <v>-7.3187499999999996</v>
      </c>
      <c r="S357">
        <v>5.5848039215686276</v>
      </c>
    </row>
    <row r="358" spans="1:19" hidden="1" x14ac:dyDescent="0.3">
      <c r="A358" s="1" t="s">
        <v>357</v>
      </c>
      <c r="B358" s="2">
        <v>45043</v>
      </c>
      <c r="C358" s="3">
        <v>5800</v>
      </c>
      <c r="D358" s="3">
        <v>1.68</v>
      </c>
      <c r="E358" s="3">
        <v>9750</v>
      </c>
      <c r="F358" s="3">
        <v>5800</v>
      </c>
      <c r="G358" s="3">
        <v>1.44</v>
      </c>
      <c r="H358" s="3">
        <f t="shared" si="59"/>
        <v>-0.24</v>
      </c>
      <c r="I358" s="3">
        <v>8365</v>
      </c>
      <c r="J358" s="3" t="s">
        <v>1</v>
      </c>
      <c r="K358" s="3" t="s">
        <v>1</v>
      </c>
      <c r="L358" s="3" t="s">
        <v>1</v>
      </c>
      <c r="M358" s="4">
        <v>-1385</v>
      </c>
      <c r="N358" s="5">
        <v>0</v>
      </c>
      <c r="O358" t="str">
        <f t="shared" si="60"/>
        <v>NIFTY</v>
      </c>
      <c r="P358" t="str">
        <f>IF(SEARCH("NIFTY",O358),RIGHT(A358,7),0)</f>
        <v>17950CE</v>
      </c>
      <c r="S358">
        <v>5.6025147928994086</v>
      </c>
    </row>
    <row r="359" spans="1:19" hidden="1" x14ac:dyDescent="0.3">
      <c r="A359" s="1" t="s">
        <v>358</v>
      </c>
      <c r="B359" s="2">
        <v>45057</v>
      </c>
      <c r="C359" s="3">
        <v>4000</v>
      </c>
      <c r="D359" s="3">
        <v>2.33</v>
      </c>
      <c r="E359" s="3">
        <v>9300</v>
      </c>
      <c r="F359" s="3">
        <v>4000</v>
      </c>
      <c r="G359" s="3">
        <v>1.92</v>
      </c>
      <c r="H359" s="3">
        <f t="shared" si="59"/>
        <v>-0.41000000000000014</v>
      </c>
      <c r="I359" s="3">
        <v>7690</v>
      </c>
      <c r="J359" s="3" t="s">
        <v>1</v>
      </c>
      <c r="K359" s="3" t="s">
        <v>1</v>
      </c>
      <c r="L359" s="3" t="s">
        <v>1</v>
      </c>
      <c r="M359" s="4">
        <v>-1610</v>
      </c>
      <c r="N359" s="5">
        <v>0</v>
      </c>
      <c r="O359" t="str">
        <f t="shared" si="60"/>
        <v>NIFTY</v>
      </c>
      <c r="P359" t="str">
        <f>IF(SEARCH("NIFTY",O359),RIGHT(A359,7),0)</f>
        <v>18100PE</v>
      </c>
      <c r="S359">
        <v>5.6723214285714283</v>
      </c>
    </row>
    <row r="360" spans="1:19" x14ac:dyDescent="0.3">
      <c r="A360" s="1" t="s">
        <v>359</v>
      </c>
      <c r="B360" s="2">
        <v>45085</v>
      </c>
      <c r="C360" s="3">
        <v>3900</v>
      </c>
      <c r="D360" s="3">
        <v>18.88</v>
      </c>
      <c r="E360" s="3">
        <v>73633.75</v>
      </c>
      <c r="F360" s="3">
        <v>3900</v>
      </c>
      <c r="G360" s="3">
        <v>17.38</v>
      </c>
      <c r="H360" s="3">
        <f t="shared" si="59"/>
        <v>-1.5</v>
      </c>
      <c r="I360" s="3">
        <v>67787.5</v>
      </c>
      <c r="J360" s="3" t="s">
        <v>1</v>
      </c>
      <c r="K360" s="3" t="s">
        <v>1</v>
      </c>
      <c r="L360" s="3" t="s">
        <v>1</v>
      </c>
      <c r="M360" s="4">
        <v>-5846.25</v>
      </c>
      <c r="N360" s="5">
        <v>0</v>
      </c>
      <c r="O360" t="str">
        <f t="shared" si="60"/>
        <v>BANKNIFTY</v>
      </c>
      <c r="P360" t="str">
        <f>IF(SEARCH("NIFTY",O360),RIGHT(A360,7),0)</f>
        <v>43200PE</v>
      </c>
      <c r="Q360">
        <f>M360/C360</f>
        <v>-1.4990384615384615</v>
      </c>
      <c r="S360">
        <v>5.9684210526315793</v>
      </c>
    </row>
    <row r="361" spans="1:19" hidden="1" x14ac:dyDescent="0.3">
      <c r="A361" s="1" t="s">
        <v>360</v>
      </c>
      <c r="B361" s="2">
        <v>45120</v>
      </c>
      <c r="C361" s="3">
        <v>250</v>
      </c>
      <c r="D361" s="3">
        <v>200</v>
      </c>
      <c r="E361" s="3">
        <v>50000</v>
      </c>
      <c r="F361" s="3">
        <v>250</v>
      </c>
      <c r="G361" s="3">
        <v>239.9</v>
      </c>
      <c r="H361" s="3">
        <f t="shared" si="59"/>
        <v>39.900000000000006</v>
      </c>
      <c r="I361" s="3">
        <v>59975</v>
      </c>
      <c r="J361" s="3" t="s">
        <v>1</v>
      </c>
      <c r="K361" s="3" t="s">
        <v>1</v>
      </c>
      <c r="L361" s="3" t="s">
        <v>1</v>
      </c>
      <c r="M361" s="5">
        <v>9975</v>
      </c>
      <c r="N361" s="5">
        <v>0</v>
      </c>
      <c r="O361" t="str">
        <f t="shared" si="60"/>
        <v>NIFTY</v>
      </c>
      <c r="P361" t="str">
        <f>IF(SEARCH("NIFTY",O361),RIGHT(A361,7),0)</f>
        <v>19250CE</v>
      </c>
      <c r="S361">
        <v>5.9798611111111111</v>
      </c>
    </row>
    <row r="362" spans="1:19" hidden="1" x14ac:dyDescent="0.3">
      <c r="A362" s="1" t="s">
        <v>361</v>
      </c>
      <c r="B362" s="2">
        <v>45099</v>
      </c>
      <c r="C362" s="3">
        <v>3500</v>
      </c>
      <c r="D362" s="3">
        <v>1.49</v>
      </c>
      <c r="E362" s="3">
        <v>5200</v>
      </c>
      <c r="F362" s="3">
        <v>3500</v>
      </c>
      <c r="G362" s="3">
        <v>1.41</v>
      </c>
      <c r="H362" s="3">
        <f t="shared" si="59"/>
        <v>-8.0000000000000071E-2</v>
      </c>
      <c r="I362" s="3">
        <v>4925</v>
      </c>
      <c r="J362" s="3" t="s">
        <v>1</v>
      </c>
      <c r="K362" s="3" t="s">
        <v>1</v>
      </c>
      <c r="L362" s="3" t="s">
        <v>1</v>
      </c>
      <c r="M362" s="4">
        <v>-275</v>
      </c>
      <c r="N362" s="5">
        <v>0</v>
      </c>
      <c r="O362" t="str">
        <f t="shared" si="60"/>
        <v>NIFTY</v>
      </c>
      <c r="P362" t="str">
        <f>IF(SEARCH("NIFTY",O362),RIGHT(A362,7),0)</f>
        <v>19100CE</v>
      </c>
      <c r="S362">
        <v>6.0860902255639102</v>
      </c>
    </row>
    <row r="363" spans="1:19" x14ac:dyDescent="0.3">
      <c r="A363" s="1" t="s">
        <v>362</v>
      </c>
      <c r="B363" s="2">
        <v>45092</v>
      </c>
      <c r="C363" s="3">
        <v>1900</v>
      </c>
      <c r="D363" s="3">
        <v>31.31</v>
      </c>
      <c r="E363" s="3">
        <v>59481.25</v>
      </c>
      <c r="F363" s="3">
        <v>1900</v>
      </c>
      <c r="G363" s="3">
        <v>33.51</v>
      </c>
      <c r="H363" s="3">
        <f t="shared" si="59"/>
        <v>2.1999999999999993</v>
      </c>
      <c r="I363" s="3">
        <v>63663.75</v>
      </c>
      <c r="J363" s="3" t="s">
        <v>1</v>
      </c>
      <c r="K363" s="3" t="s">
        <v>1</v>
      </c>
      <c r="L363" s="3" t="s">
        <v>1</v>
      </c>
      <c r="M363" s="5">
        <v>4182.5</v>
      </c>
      <c r="N363" s="5">
        <v>0</v>
      </c>
      <c r="O363" t="str">
        <f t="shared" si="60"/>
        <v>BANKNIFTY</v>
      </c>
      <c r="P363" t="str">
        <f>IF(SEARCH("NIFTY",O363),RIGHT(A363,7),0)</f>
        <v>44500CE</v>
      </c>
      <c r="Q363">
        <f t="shared" ref="Q363:Q366" si="68">M363/C363</f>
        <v>2.2013157894736843</v>
      </c>
      <c r="S363">
        <v>6.12</v>
      </c>
    </row>
    <row r="364" spans="1:19" x14ac:dyDescent="0.3">
      <c r="A364" s="1" t="s">
        <v>363</v>
      </c>
      <c r="B364" s="2">
        <v>45120</v>
      </c>
      <c r="C364" s="3">
        <v>3300</v>
      </c>
      <c r="D364" s="3">
        <v>55.85</v>
      </c>
      <c r="E364" s="3">
        <v>184298.75</v>
      </c>
      <c r="F364" s="3">
        <v>3300</v>
      </c>
      <c r="G364" s="3">
        <v>60.81</v>
      </c>
      <c r="H364" s="3">
        <f t="shared" si="59"/>
        <v>4.9600000000000009</v>
      </c>
      <c r="I364" s="3">
        <v>200658.75</v>
      </c>
      <c r="J364" s="3" t="s">
        <v>1</v>
      </c>
      <c r="K364" s="3" t="s">
        <v>1</v>
      </c>
      <c r="L364" s="3" t="s">
        <v>1</v>
      </c>
      <c r="M364" s="5">
        <v>16360</v>
      </c>
      <c r="N364" s="5">
        <v>0</v>
      </c>
      <c r="O364" t="str">
        <f t="shared" si="60"/>
        <v>BANKNIFTY</v>
      </c>
      <c r="P364" t="str">
        <f>IF(SEARCH("NIFTY",O364),RIGHT(A364,7),0)</f>
        <v>45500CE</v>
      </c>
      <c r="Q364">
        <f t="shared" si="68"/>
        <v>4.957575757575758</v>
      </c>
      <c r="S364">
        <v>6.2908163265306118</v>
      </c>
    </row>
    <row r="365" spans="1:19" x14ac:dyDescent="0.3">
      <c r="A365" s="1" t="s">
        <v>364</v>
      </c>
      <c r="B365" s="2">
        <v>45043</v>
      </c>
      <c r="C365" s="3">
        <v>5400</v>
      </c>
      <c r="D365" s="3">
        <v>14.29</v>
      </c>
      <c r="E365" s="3">
        <v>77172.5</v>
      </c>
      <c r="F365" s="3">
        <v>5400</v>
      </c>
      <c r="G365" s="3">
        <v>15.55</v>
      </c>
      <c r="H365" s="3">
        <f t="shared" si="59"/>
        <v>1.2600000000000016</v>
      </c>
      <c r="I365" s="3">
        <v>83961.25</v>
      </c>
      <c r="J365" s="3" t="s">
        <v>1</v>
      </c>
      <c r="K365" s="3" t="s">
        <v>1</v>
      </c>
      <c r="L365" s="3" t="s">
        <v>1</v>
      </c>
      <c r="M365" s="5">
        <v>6788.75</v>
      </c>
      <c r="N365" s="5">
        <v>0</v>
      </c>
      <c r="O365" t="str">
        <f t="shared" si="60"/>
        <v>BANKNIFTY</v>
      </c>
      <c r="P365" t="str">
        <f>IF(SEARCH("NIFTY",O365),RIGHT(A365,7),0)</f>
        <v>43200CE</v>
      </c>
      <c r="Q365">
        <f t="shared" si="68"/>
        <v>1.2571759259259259</v>
      </c>
      <c r="S365">
        <v>6.3187499999999996</v>
      </c>
    </row>
    <row r="366" spans="1:19" x14ac:dyDescent="0.3">
      <c r="A366" s="1" t="s">
        <v>365</v>
      </c>
      <c r="B366" s="2">
        <v>45071</v>
      </c>
      <c r="C366" s="3">
        <v>400</v>
      </c>
      <c r="D366" s="3">
        <v>30.43</v>
      </c>
      <c r="E366" s="3">
        <v>12173.75</v>
      </c>
      <c r="F366" s="3">
        <v>400</v>
      </c>
      <c r="G366" s="3">
        <v>25.41</v>
      </c>
      <c r="H366" s="3">
        <f t="shared" si="59"/>
        <v>-5.0199999999999996</v>
      </c>
      <c r="I366" s="3">
        <v>10162.5</v>
      </c>
      <c r="J366" s="3" t="s">
        <v>1</v>
      </c>
      <c r="K366" s="3" t="s">
        <v>1</v>
      </c>
      <c r="L366" s="3" t="s">
        <v>1</v>
      </c>
      <c r="M366" s="4">
        <v>-2011.25</v>
      </c>
      <c r="N366" s="5">
        <v>0</v>
      </c>
      <c r="O366" t="str">
        <f t="shared" si="60"/>
        <v>BANKNIFTY</v>
      </c>
      <c r="P366" t="str">
        <f>IF(SEARCH("NIFTY",O366),RIGHT(A366,7),0)</f>
        <v>44600CE</v>
      </c>
      <c r="Q366">
        <f t="shared" si="68"/>
        <v>-5.0281250000000002</v>
      </c>
      <c r="S366">
        <v>6.3826923076923077</v>
      </c>
    </row>
    <row r="367" spans="1:19" hidden="1" x14ac:dyDescent="0.3">
      <c r="A367" s="1" t="s">
        <v>366</v>
      </c>
      <c r="B367" s="2">
        <v>45092</v>
      </c>
      <c r="C367" s="3">
        <v>4000</v>
      </c>
      <c r="D367" s="3">
        <v>10.07</v>
      </c>
      <c r="E367" s="3">
        <v>40260</v>
      </c>
      <c r="F367" s="3">
        <v>4000</v>
      </c>
      <c r="G367" s="3">
        <v>9.57</v>
      </c>
      <c r="H367" s="3">
        <f t="shared" si="59"/>
        <v>-0.5</v>
      </c>
      <c r="I367" s="3">
        <v>38297.5</v>
      </c>
      <c r="J367" s="3" t="s">
        <v>1</v>
      </c>
      <c r="K367" s="3" t="s">
        <v>1</v>
      </c>
      <c r="L367" s="3" t="s">
        <v>1</v>
      </c>
      <c r="M367" s="4">
        <v>-1962.5</v>
      </c>
      <c r="N367" s="5">
        <v>0</v>
      </c>
      <c r="O367" t="str">
        <f t="shared" si="60"/>
        <v>NIFTY</v>
      </c>
      <c r="P367" t="str">
        <f>IF(SEARCH("NIFTY",O367),RIGHT(A367,7),0)</f>
        <v>18700CE</v>
      </c>
      <c r="S367">
        <v>6.5852272727272725</v>
      </c>
    </row>
    <row r="368" spans="1:19" x14ac:dyDescent="0.3">
      <c r="A368" s="1" t="s">
        <v>367</v>
      </c>
      <c r="B368" s="2">
        <v>45162</v>
      </c>
      <c r="C368" s="3">
        <v>1170</v>
      </c>
      <c r="D368" s="3">
        <v>176.3</v>
      </c>
      <c r="E368" s="3">
        <v>206274.75</v>
      </c>
      <c r="F368" s="3">
        <v>1170</v>
      </c>
      <c r="G368" s="3">
        <v>168.92</v>
      </c>
      <c r="H368" s="3">
        <f t="shared" si="59"/>
        <v>-7.3800000000000239</v>
      </c>
      <c r="I368" s="3">
        <v>197640</v>
      </c>
      <c r="J368" s="3" t="s">
        <v>1</v>
      </c>
      <c r="K368" s="3" t="s">
        <v>1</v>
      </c>
      <c r="L368" s="3" t="s">
        <v>1</v>
      </c>
      <c r="M368" s="4">
        <v>-8634.75</v>
      </c>
      <c r="N368" s="5">
        <v>0</v>
      </c>
      <c r="O368" t="str">
        <f t="shared" si="60"/>
        <v>BANKNIFTY</v>
      </c>
      <c r="P368" t="str">
        <f>IF(SEARCH("NIFTY",O368),RIGHT(A368,7),0)</f>
        <v>43700PE</v>
      </c>
      <c r="Q368">
        <f>M368/C368</f>
        <v>-7.3801282051282051</v>
      </c>
      <c r="S368">
        <v>6.6386363636363637</v>
      </c>
    </row>
    <row r="369" spans="1:19" hidden="1" x14ac:dyDescent="0.3">
      <c r="A369" s="1" t="s">
        <v>368</v>
      </c>
      <c r="B369" s="2">
        <v>45176</v>
      </c>
      <c r="C369" s="3">
        <v>100</v>
      </c>
      <c r="D369" s="3">
        <v>59.35</v>
      </c>
      <c r="E369" s="3">
        <v>5935</v>
      </c>
      <c r="F369" s="3">
        <v>100</v>
      </c>
      <c r="G369" s="3">
        <v>62.25</v>
      </c>
      <c r="H369" s="3">
        <f t="shared" si="59"/>
        <v>2.8999999999999986</v>
      </c>
      <c r="I369" s="3">
        <v>6225</v>
      </c>
      <c r="J369" s="3" t="s">
        <v>1</v>
      </c>
      <c r="K369" s="3" t="s">
        <v>1</v>
      </c>
      <c r="L369" s="3" t="s">
        <v>1</v>
      </c>
      <c r="M369" s="5">
        <v>290</v>
      </c>
      <c r="N369" s="5">
        <v>0</v>
      </c>
      <c r="O369" t="str">
        <f t="shared" si="60"/>
        <v>NIFTY</v>
      </c>
      <c r="P369" t="str">
        <f>IF(SEARCH("NIFTY",O369),RIGHT(A369,7),0)</f>
        <v>19600PE</v>
      </c>
      <c r="S369">
        <v>6.6456521739130432</v>
      </c>
    </row>
    <row r="370" spans="1:19" x14ac:dyDescent="0.3">
      <c r="A370" s="1" t="s">
        <v>369</v>
      </c>
      <c r="B370" s="2">
        <v>45127</v>
      </c>
      <c r="C370" s="3">
        <v>300</v>
      </c>
      <c r="D370" s="3">
        <v>14.05</v>
      </c>
      <c r="E370" s="3">
        <v>4215</v>
      </c>
      <c r="F370" s="3">
        <v>300</v>
      </c>
      <c r="G370" s="3">
        <v>13.69</v>
      </c>
      <c r="H370" s="3">
        <f t="shared" si="59"/>
        <v>-0.36000000000000121</v>
      </c>
      <c r="I370" s="3">
        <v>4106.25</v>
      </c>
      <c r="J370" s="3" t="s">
        <v>1</v>
      </c>
      <c r="K370" s="3" t="s">
        <v>1</v>
      </c>
      <c r="L370" s="3" t="s">
        <v>1</v>
      </c>
      <c r="M370" s="4">
        <v>-108.75</v>
      </c>
      <c r="N370" s="5">
        <v>0</v>
      </c>
      <c r="O370" t="str">
        <f t="shared" si="60"/>
        <v>BANKNIFTY</v>
      </c>
      <c r="P370" t="str">
        <f>IF(SEARCH("NIFTY",O370),RIGHT(A370,7),0)</f>
        <v>42900PE</v>
      </c>
      <c r="Q370">
        <f t="shared" ref="Q370:Q372" si="69">M370/C370</f>
        <v>-0.36249999999999999</v>
      </c>
      <c r="S370">
        <v>6.8444444444444441</v>
      </c>
    </row>
    <row r="371" spans="1:19" x14ac:dyDescent="0.3">
      <c r="A371" s="1" t="s">
        <v>370</v>
      </c>
      <c r="B371" s="2">
        <v>45064</v>
      </c>
      <c r="C371" s="3">
        <v>2350</v>
      </c>
      <c r="D371" s="3">
        <v>51.19</v>
      </c>
      <c r="E371" s="3">
        <v>120297.5</v>
      </c>
      <c r="F371" s="3">
        <v>2350</v>
      </c>
      <c r="G371" s="3">
        <v>47.91</v>
      </c>
      <c r="H371" s="3">
        <f t="shared" si="59"/>
        <v>-3.2800000000000011</v>
      </c>
      <c r="I371" s="3">
        <v>112600</v>
      </c>
      <c r="J371" s="3" t="s">
        <v>1</v>
      </c>
      <c r="K371" s="3" t="s">
        <v>1</v>
      </c>
      <c r="L371" s="3" t="s">
        <v>1</v>
      </c>
      <c r="M371" s="4">
        <v>-7697.5</v>
      </c>
      <c r="N371" s="5">
        <v>0</v>
      </c>
      <c r="O371" t="str">
        <f t="shared" si="60"/>
        <v>BANKNIFTY</v>
      </c>
      <c r="P371" t="str">
        <f>IF(SEARCH("NIFTY",O371),RIGHT(A371,7),0)</f>
        <v>43400PE</v>
      </c>
      <c r="Q371">
        <f t="shared" si="69"/>
        <v>-3.2755319148936168</v>
      </c>
      <c r="S371">
        <v>6.8788043478260867</v>
      </c>
    </row>
    <row r="372" spans="1:19" x14ac:dyDescent="0.3">
      <c r="A372" s="1" t="s">
        <v>371</v>
      </c>
      <c r="B372" s="2">
        <v>45078</v>
      </c>
      <c r="C372" s="3">
        <v>2200</v>
      </c>
      <c r="D372" s="3">
        <v>35.840000000000003</v>
      </c>
      <c r="E372" s="3">
        <v>78855</v>
      </c>
      <c r="F372" s="3">
        <v>2200</v>
      </c>
      <c r="G372" s="3">
        <v>29.99</v>
      </c>
      <c r="H372" s="3">
        <f t="shared" si="59"/>
        <v>-5.850000000000005</v>
      </c>
      <c r="I372" s="3">
        <v>65987.5</v>
      </c>
      <c r="J372" s="3" t="s">
        <v>1</v>
      </c>
      <c r="K372" s="3" t="s">
        <v>1</v>
      </c>
      <c r="L372" s="3" t="s">
        <v>1</v>
      </c>
      <c r="M372" s="4">
        <v>-12867.5</v>
      </c>
      <c r="N372" s="5">
        <v>0</v>
      </c>
      <c r="O372" t="str">
        <f t="shared" si="60"/>
        <v>BANKNIFTY</v>
      </c>
      <c r="P372" t="str">
        <f>IF(SEARCH("NIFTY",O372),RIGHT(A372,7),0)</f>
        <v>43700PE</v>
      </c>
      <c r="Q372">
        <f t="shared" si="69"/>
        <v>-5.8488636363636362</v>
      </c>
      <c r="S372">
        <v>7.0076086956521735</v>
      </c>
    </row>
    <row r="373" spans="1:19" hidden="1" x14ac:dyDescent="0.3">
      <c r="A373" s="1" t="s">
        <v>372</v>
      </c>
      <c r="B373" s="2">
        <v>45034</v>
      </c>
      <c r="C373" s="3">
        <v>2000</v>
      </c>
      <c r="D373" s="3">
        <v>1.05</v>
      </c>
      <c r="E373" s="3">
        <v>2100</v>
      </c>
      <c r="F373" s="3">
        <v>2000</v>
      </c>
      <c r="G373" s="3">
        <v>1</v>
      </c>
      <c r="H373" s="3">
        <f t="shared" si="59"/>
        <v>-5.0000000000000044E-2</v>
      </c>
      <c r="I373" s="3">
        <v>2000</v>
      </c>
      <c r="J373" s="3" t="s">
        <v>1</v>
      </c>
      <c r="K373" s="3" t="s">
        <v>1</v>
      </c>
      <c r="L373" s="3" t="s">
        <v>1</v>
      </c>
      <c r="M373" s="4">
        <v>-100</v>
      </c>
      <c r="N373" s="5">
        <v>0</v>
      </c>
      <c r="O373" t="str">
        <f t="shared" si="60"/>
        <v>FINNIFTY</v>
      </c>
      <c r="P373" t="str">
        <f>IF(SEARCH("NIFTY",O373),RIGHT(A373,7),0)</f>
        <v>18550PE</v>
      </c>
      <c r="S373">
        <v>7.2</v>
      </c>
    </row>
    <row r="374" spans="1:19" x14ac:dyDescent="0.3">
      <c r="A374" s="1" t="s">
        <v>373</v>
      </c>
      <c r="B374" s="2">
        <v>45050</v>
      </c>
      <c r="C374" s="3">
        <v>2500</v>
      </c>
      <c r="D374" s="3">
        <v>1.77</v>
      </c>
      <c r="E374" s="3">
        <v>4425</v>
      </c>
      <c r="F374" s="3">
        <v>2500</v>
      </c>
      <c r="G374" s="3">
        <v>6.76</v>
      </c>
      <c r="H374" s="3">
        <f t="shared" si="59"/>
        <v>4.99</v>
      </c>
      <c r="I374" s="3">
        <v>16900</v>
      </c>
      <c r="J374" s="3" t="s">
        <v>1</v>
      </c>
      <c r="K374" s="3" t="s">
        <v>1</v>
      </c>
      <c r="L374" s="3" t="s">
        <v>1</v>
      </c>
      <c r="M374" s="5">
        <v>12475</v>
      </c>
      <c r="N374" s="5">
        <v>0</v>
      </c>
      <c r="O374" t="str">
        <f t="shared" si="60"/>
        <v>BANKNIFTY</v>
      </c>
      <c r="P374" t="str">
        <f>IF(SEARCH("NIFTY",O374),RIGHT(A374,7),0)</f>
        <v>43500PE</v>
      </c>
      <c r="Q374">
        <f t="shared" ref="Q374:Q383" si="70">M374/C374</f>
        <v>4.99</v>
      </c>
      <c r="S374">
        <v>7.2833333333333332</v>
      </c>
    </row>
    <row r="375" spans="1:19" x14ac:dyDescent="0.3">
      <c r="A375" s="1" t="s">
        <v>374</v>
      </c>
      <c r="B375" s="2">
        <v>45162</v>
      </c>
      <c r="C375" s="3">
        <v>540</v>
      </c>
      <c r="D375" s="3">
        <v>1.45</v>
      </c>
      <c r="E375" s="3">
        <v>783</v>
      </c>
      <c r="F375" s="3">
        <v>540</v>
      </c>
      <c r="G375" s="3">
        <v>1.35</v>
      </c>
      <c r="H375" s="3">
        <f t="shared" si="59"/>
        <v>-9.9999999999999867E-2</v>
      </c>
      <c r="I375" s="3">
        <v>729</v>
      </c>
      <c r="J375" s="3" t="s">
        <v>1</v>
      </c>
      <c r="K375" s="3" t="s">
        <v>1</v>
      </c>
      <c r="L375" s="3" t="s">
        <v>1</v>
      </c>
      <c r="M375" s="4">
        <v>-54</v>
      </c>
      <c r="N375" s="5">
        <v>0</v>
      </c>
      <c r="O375" t="str">
        <f t="shared" si="60"/>
        <v>BANKNIFTY</v>
      </c>
      <c r="P375" t="str">
        <f>IF(SEARCH("NIFTY",O375),RIGHT(A375,7),0)</f>
        <v>44000PE</v>
      </c>
      <c r="Q375">
        <f t="shared" si="70"/>
        <v>-0.1</v>
      </c>
      <c r="S375">
        <v>7.2897321428571429</v>
      </c>
    </row>
    <row r="376" spans="1:19" x14ac:dyDescent="0.3">
      <c r="A376" s="1" t="s">
        <v>375</v>
      </c>
      <c r="B376" s="2">
        <v>45036</v>
      </c>
      <c r="C376" s="3">
        <v>7500</v>
      </c>
      <c r="D376" s="3">
        <v>20.04</v>
      </c>
      <c r="E376" s="3">
        <v>150305</v>
      </c>
      <c r="F376" s="3">
        <v>7500</v>
      </c>
      <c r="G376" s="3">
        <v>17.420000000000002</v>
      </c>
      <c r="H376" s="3">
        <f t="shared" si="59"/>
        <v>-2.6199999999999974</v>
      </c>
      <c r="I376" s="3">
        <v>130646.25</v>
      </c>
      <c r="J376" s="3" t="s">
        <v>1</v>
      </c>
      <c r="K376" s="3" t="s">
        <v>1</v>
      </c>
      <c r="L376" s="3" t="s">
        <v>1</v>
      </c>
      <c r="M376" s="4">
        <v>-19658.75</v>
      </c>
      <c r="N376" s="5">
        <v>0</v>
      </c>
      <c r="O376" t="str">
        <f t="shared" si="60"/>
        <v>BANKNIFTY</v>
      </c>
      <c r="P376" t="str">
        <f>IF(SEARCH("NIFTY",O376),RIGHT(A376,7),0)</f>
        <v>41600PE</v>
      </c>
      <c r="Q376">
        <f t="shared" si="70"/>
        <v>-2.6211666666666669</v>
      </c>
      <c r="S376">
        <v>7.3125</v>
      </c>
    </row>
    <row r="377" spans="1:19" x14ac:dyDescent="0.3">
      <c r="A377" s="1" t="s">
        <v>376</v>
      </c>
      <c r="B377" s="2">
        <v>45105</v>
      </c>
      <c r="C377" s="3">
        <v>250</v>
      </c>
      <c r="D377" s="3">
        <v>4.2</v>
      </c>
      <c r="E377" s="3">
        <v>1050</v>
      </c>
      <c r="F377" s="3">
        <v>250</v>
      </c>
      <c r="G377" s="3">
        <v>7.75</v>
      </c>
      <c r="H377" s="3">
        <f t="shared" si="59"/>
        <v>3.55</v>
      </c>
      <c r="I377" s="3">
        <v>1937.5</v>
      </c>
      <c r="J377" s="3" t="s">
        <v>1</v>
      </c>
      <c r="K377" s="3" t="s">
        <v>1</v>
      </c>
      <c r="L377" s="3" t="s">
        <v>1</v>
      </c>
      <c r="M377" s="5">
        <v>887.5</v>
      </c>
      <c r="N377" s="5">
        <v>0</v>
      </c>
      <c r="O377" t="str">
        <f t="shared" si="60"/>
        <v>BANKNIFTY</v>
      </c>
      <c r="P377" t="str">
        <f>IF(SEARCH("NIFTY",O377),RIGHT(A377,7),0)</f>
        <v>44800CE</v>
      </c>
      <c r="Q377">
        <f t="shared" si="70"/>
        <v>3.55</v>
      </c>
      <c r="S377">
        <v>7.6166666666666663</v>
      </c>
    </row>
    <row r="378" spans="1:19" x14ac:dyDescent="0.3">
      <c r="A378" s="1" t="s">
        <v>377</v>
      </c>
      <c r="B378" s="2">
        <v>45043</v>
      </c>
      <c r="C378" s="3">
        <v>3000</v>
      </c>
      <c r="D378" s="3">
        <v>9.92</v>
      </c>
      <c r="E378" s="3">
        <v>29751.25</v>
      </c>
      <c r="F378" s="3">
        <v>3000</v>
      </c>
      <c r="G378" s="3">
        <v>6.95</v>
      </c>
      <c r="H378" s="3">
        <f t="shared" si="59"/>
        <v>-2.9699999999999998</v>
      </c>
      <c r="I378" s="3">
        <v>20860</v>
      </c>
      <c r="J378" s="3" t="s">
        <v>1</v>
      </c>
      <c r="K378" s="3" t="s">
        <v>1</v>
      </c>
      <c r="L378" s="3" t="s">
        <v>1</v>
      </c>
      <c r="M378" s="4">
        <v>-8891.25</v>
      </c>
      <c r="N378" s="5">
        <v>0</v>
      </c>
      <c r="O378" t="str">
        <f t="shared" si="60"/>
        <v>BANKNIFTY</v>
      </c>
      <c r="P378" t="str">
        <f>IF(SEARCH("NIFTY",O378),RIGHT(A378,7),0)</f>
        <v>41200PE</v>
      </c>
      <c r="Q378">
        <f t="shared" si="70"/>
        <v>-2.9637500000000001</v>
      </c>
      <c r="S378">
        <v>7.680769230769231</v>
      </c>
    </row>
    <row r="379" spans="1:19" x14ac:dyDescent="0.3">
      <c r="A379" s="1" t="s">
        <v>378</v>
      </c>
      <c r="B379" s="2">
        <v>45092</v>
      </c>
      <c r="C379" s="3">
        <v>2300</v>
      </c>
      <c r="D379" s="3">
        <v>54.75</v>
      </c>
      <c r="E379" s="3">
        <v>125916.25</v>
      </c>
      <c r="F379" s="3">
        <v>2300</v>
      </c>
      <c r="G379" s="3">
        <v>58.51</v>
      </c>
      <c r="H379" s="3">
        <f t="shared" si="59"/>
        <v>3.759999999999998</v>
      </c>
      <c r="I379" s="3">
        <v>134575</v>
      </c>
      <c r="J379" s="3" t="s">
        <v>1</v>
      </c>
      <c r="K379" s="3" t="s">
        <v>1</v>
      </c>
      <c r="L379" s="3" t="s">
        <v>1</v>
      </c>
      <c r="M379" s="5">
        <v>8658.75</v>
      </c>
      <c r="N379" s="5">
        <v>0</v>
      </c>
      <c r="O379" t="str">
        <f t="shared" si="60"/>
        <v>BANKNIFTY</v>
      </c>
      <c r="P379" t="str">
        <f>IF(SEARCH("NIFTY",O379),RIGHT(A379,7),0)</f>
        <v>43500PE</v>
      </c>
      <c r="Q379">
        <f t="shared" si="70"/>
        <v>3.7646739130434783</v>
      </c>
      <c r="S379">
        <v>7.8545454545454545</v>
      </c>
    </row>
    <row r="380" spans="1:19" x14ac:dyDescent="0.3">
      <c r="A380" s="1" t="s">
        <v>379</v>
      </c>
      <c r="B380" s="2">
        <v>45162</v>
      </c>
      <c r="C380" s="3">
        <v>450</v>
      </c>
      <c r="D380" s="3">
        <v>84.75</v>
      </c>
      <c r="E380" s="3">
        <v>38137.5</v>
      </c>
      <c r="F380" s="3">
        <v>450</v>
      </c>
      <c r="G380" s="3">
        <v>53.76</v>
      </c>
      <c r="H380" s="3">
        <f t="shared" si="59"/>
        <v>-30.990000000000002</v>
      </c>
      <c r="I380" s="3">
        <v>24190.5</v>
      </c>
      <c r="J380" s="3" t="s">
        <v>1</v>
      </c>
      <c r="K380" s="3" t="s">
        <v>1</v>
      </c>
      <c r="L380" s="3" t="s">
        <v>1</v>
      </c>
      <c r="M380" s="4">
        <v>-13947</v>
      </c>
      <c r="N380" s="5">
        <v>0</v>
      </c>
      <c r="O380" t="str">
        <f t="shared" si="60"/>
        <v>BANKNIFTY</v>
      </c>
      <c r="P380" t="str">
        <f>IF(SEARCH("NIFTY",O380),RIGHT(A380,7),0)</f>
        <v>44200CE</v>
      </c>
      <c r="Q380">
        <f t="shared" si="70"/>
        <v>-30.993333333333332</v>
      </c>
      <c r="S380">
        <v>8.1349999999999998</v>
      </c>
    </row>
    <row r="381" spans="1:19" x14ac:dyDescent="0.3">
      <c r="A381" s="1" t="s">
        <v>380</v>
      </c>
      <c r="B381" s="2">
        <v>45036</v>
      </c>
      <c r="C381" s="3">
        <v>450</v>
      </c>
      <c r="D381" s="3">
        <v>4.9000000000000004</v>
      </c>
      <c r="E381" s="3">
        <v>2205</v>
      </c>
      <c r="F381" s="3">
        <v>450</v>
      </c>
      <c r="G381" s="3">
        <v>3.85</v>
      </c>
      <c r="H381" s="3">
        <f t="shared" si="59"/>
        <v>-1.0500000000000003</v>
      </c>
      <c r="I381" s="3">
        <v>1732.5</v>
      </c>
      <c r="J381" s="3" t="s">
        <v>1</v>
      </c>
      <c r="K381" s="3" t="s">
        <v>1</v>
      </c>
      <c r="L381" s="3" t="s">
        <v>1</v>
      </c>
      <c r="M381" s="4">
        <v>-472.5</v>
      </c>
      <c r="N381" s="5">
        <v>0</v>
      </c>
      <c r="O381" t="str">
        <f t="shared" si="60"/>
        <v>BANKNIFTY</v>
      </c>
      <c r="P381" t="str">
        <f>IF(SEARCH("NIFTY",O381),RIGHT(A381,7),0)</f>
        <v>39000PE</v>
      </c>
      <c r="Q381">
        <f t="shared" si="70"/>
        <v>-1.05</v>
      </c>
      <c r="S381">
        <v>8.4206521739130427</v>
      </c>
    </row>
    <row r="382" spans="1:19" x14ac:dyDescent="0.3">
      <c r="A382" s="1" t="s">
        <v>381</v>
      </c>
      <c r="B382" s="2">
        <v>45127</v>
      </c>
      <c r="C382" s="3">
        <v>600</v>
      </c>
      <c r="D382" s="3">
        <v>5.05</v>
      </c>
      <c r="E382" s="3">
        <v>3030</v>
      </c>
      <c r="F382" s="3">
        <v>600</v>
      </c>
      <c r="G382" s="3">
        <v>3.03</v>
      </c>
      <c r="H382" s="3">
        <f t="shared" si="59"/>
        <v>-2.02</v>
      </c>
      <c r="I382" s="3">
        <v>1820</v>
      </c>
      <c r="J382" s="3" t="s">
        <v>1</v>
      </c>
      <c r="K382" s="3" t="s">
        <v>1</v>
      </c>
      <c r="L382" s="3" t="s">
        <v>1</v>
      </c>
      <c r="M382" s="4">
        <v>-1210</v>
      </c>
      <c r="N382" s="5">
        <v>0</v>
      </c>
      <c r="O382" t="str">
        <f t="shared" si="60"/>
        <v>BANKNIFTY</v>
      </c>
      <c r="P382" t="str">
        <f>IF(SEARCH("NIFTY",O382),RIGHT(A382,7),0)</f>
        <v>43700PE</v>
      </c>
      <c r="Q382">
        <f t="shared" si="70"/>
        <v>-2.0166666666666666</v>
      </c>
      <c r="S382">
        <v>8.4769841269841262</v>
      </c>
    </row>
    <row r="383" spans="1:19" x14ac:dyDescent="0.3">
      <c r="A383" s="1" t="s">
        <v>382</v>
      </c>
      <c r="B383" s="2">
        <v>45050</v>
      </c>
      <c r="C383" s="3">
        <v>6400</v>
      </c>
      <c r="D383" s="3">
        <v>3.17</v>
      </c>
      <c r="E383" s="3">
        <v>20315</v>
      </c>
      <c r="F383" s="3">
        <v>6400</v>
      </c>
      <c r="G383" s="3">
        <v>3.03</v>
      </c>
      <c r="H383" s="3">
        <f t="shared" si="59"/>
        <v>-0.14000000000000012</v>
      </c>
      <c r="I383" s="3">
        <v>19365</v>
      </c>
      <c r="J383" s="3" t="s">
        <v>1</v>
      </c>
      <c r="K383" s="3" t="s">
        <v>1</v>
      </c>
      <c r="L383" s="3" t="s">
        <v>1</v>
      </c>
      <c r="M383" s="4">
        <v>-950</v>
      </c>
      <c r="N383" s="5">
        <v>0</v>
      </c>
      <c r="O383" t="str">
        <f t="shared" si="60"/>
        <v>BANKNIFTY</v>
      </c>
      <c r="P383" t="str">
        <f>IF(SEARCH("NIFTY",O383),RIGHT(A383,7),0)</f>
        <v>43200PE</v>
      </c>
      <c r="Q383">
        <f t="shared" si="70"/>
        <v>-0.1484375</v>
      </c>
      <c r="S383">
        <v>8.5526785714285722</v>
      </c>
    </row>
    <row r="384" spans="1:19" hidden="1" x14ac:dyDescent="0.3">
      <c r="A384" s="1" t="s">
        <v>383</v>
      </c>
      <c r="B384" s="2">
        <v>45043</v>
      </c>
      <c r="C384" s="3">
        <v>2900</v>
      </c>
      <c r="D384" s="3">
        <v>3.73</v>
      </c>
      <c r="E384" s="3">
        <v>10820</v>
      </c>
      <c r="F384" s="3">
        <v>2900</v>
      </c>
      <c r="G384" s="3">
        <v>4.82</v>
      </c>
      <c r="H384" s="3">
        <f t="shared" si="59"/>
        <v>1.0900000000000003</v>
      </c>
      <c r="I384" s="3">
        <v>13980</v>
      </c>
      <c r="J384" s="3" t="s">
        <v>1</v>
      </c>
      <c r="K384" s="3" t="s">
        <v>1</v>
      </c>
      <c r="L384" s="3" t="s">
        <v>1</v>
      </c>
      <c r="M384" s="5">
        <v>3160</v>
      </c>
      <c r="N384" s="5">
        <v>0</v>
      </c>
      <c r="O384" t="str">
        <f t="shared" si="60"/>
        <v>NIFTY</v>
      </c>
      <c r="P384" t="str">
        <f>IF(SEARCH("NIFTY",O384),RIGHT(A384,7),0)</f>
        <v>17700PE</v>
      </c>
      <c r="S384">
        <v>8.6999999999999993</v>
      </c>
    </row>
    <row r="385" spans="1:19" hidden="1" x14ac:dyDescent="0.3">
      <c r="A385" s="1" t="s">
        <v>384</v>
      </c>
      <c r="B385" s="2">
        <v>45169</v>
      </c>
      <c r="C385" s="3">
        <v>300000</v>
      </c>
      <c r="D385" s="3">
        <v>5.7</v>
      </c>
      <c r="E385" s="3">
        <v>1708500</v>
      </c>
      <c r="F385" s="3">
        <v>300000</v>
      </c>
      <c r="G385" s="3">
        <v>5.65</v>
      </c>
      <c r="H385" s="3">
        <f t="shared" si="59"/>
        <v>-4.9999999999999822E-2</v>
      </c>
      <c r="I385" s="3">
        <v>1695750</v>
      </c>
      <c r="J385" s="3" t="s">
        <v>1</v>
      </c>
      <c r="K385" s="3" t="s">
        <v>1</v>
      </c>
      <c r="L385" s="3" t="s">
        <v>1</v>
      </c>
      <c r="M385" s="4">
        <v>-12750</v>
      </c>
      <c r="N385" s="5">
        <v>0</v>
      </c>
      <c r="O385" t="e">
        <f t="shared" si="60"/>
        <v>#VALUE!</v>
      </c>
      <c r="P385" t="e">
        <f>IF(SEARCH("NIFTY",O385),RIGHT(A385,7),0)</f>
        <v>#VALUE!</v>
      </c>
      <c r="S385">
        <v>8.7349999999999994</v>
      </c>
    </row>
    <row r="386" spans="1:19" x14ac:dyDescent="0.3">
      <c r="A386" s="1" t="s">
        <v>385</v>
      </c>
      <c r="B386" s="2">
        <v>45050</v>
      </c>
      <c r="C386" s="3">
        <v>10175</v>
      </c>
      <c r="D386" s="3">
        <v>9.8000000000000007</v>
      </c>
      <c r="E386" s="3">
        <v>99756.25</v>
      </c>
      <c r="F386" s="3">
        <v>10175</v>
      </c>
      <c r="G386" s="3">
        <v>9.48</v>
      </c>
      <c r="H386" s="3">
        <f t="shared" si="59"/>
        <v>-0.32000000000000028</v>
      </c>
      <c r="I386" s="3">
        <v>96483.75</v>
      </c>
      <c r="J386" s="3" t="s">
        <v>1</v>
      </c>
      <c r="K386" s="3" t="s">
        <v>1</v>
      </c>
      <c r="L386" s="3" t="s">
        <v>1</v>
      </c>
      <c r="M386" s="4">
        <v>-3272.5</v>
      </c>
      <c r="N386" s="5">
        <v>0</v>
      </c>
      <c r="O386" t="str">
        <f t="shared" si="60"/>
        <v>BANKNIFTY</v>
      </c>
      <c r="P386" t="str">
        <f>IF(SEARCH("NIFTY",O386),RIGHT(A386,7),0)</f>
        <v>43900CE</v>
      </c>
      <c r="Q386">
        <f t="shared" ref="Q386:Q387" si="71">M386/C386</f>
        <v>-0.32162162162162161</v>
      </c>
      <c r="S386">
        <v>8.7974999999999994</v>
      </c>
    </row>
    <row r="387" spans="1:19" x14ac:dyDescent="0.3">
      <c r="A387" s="1" t="s">
        <v>386</v>
      </c>
      <c r="B387" s="2">
        <v>45162</v>
      </c>
      <c r="C387" s="3">
        <v>450</v>
      </c>
      <c r="D387" s="3">
        <v>4</v>
      </c>
      <c r="E387" s="3">
        <v>1800</v>
      </c>
      <c r="F387" s="3">
        <v>450</v>
      </c>
      <c r="G387" s="3">
        <v>3.45</v>
      </c>
      <c r="H387" s="3">
        <f t="shared" ref="H387:H450" si="72">G387-D387</f>
        <v>-0.54999999999999982</v>
      </c>
      <c r="I387" s="3">
        <v>1552.5</v>
      </c>
      <c r="J387" s="3" t="s">
        <v>1</v>
      </c>
      <c r="K387" s="3" t="s">
        <v>1</v>
      </c>
      <c r="L387" s="3" t="s">
        <v>1</v>
      </c>
      <c r="M387" s="4">
        <v>-247.5</v>
      </c>
      <c r="N387" s="5">
        <v>0</v>
      </c>
      <c r="O387" t="str">
        <f t="shared" ref="O387:O450" si="73">LEFT(A387, FIND("NIFTY", A387) +4)</f>
        <v>BANKNIFTY</v>
      </c>
      <c r="P387" t="str">
        <f>IF(SEARCH("NIFTY",O387),RIGHT(A387,7),0)</f>
        <v>45800CE</v>
      </c>
      <c r="Q387">
        <f t="shared" si="71"/>
        <v>-0.55000000000000004</v>
      </c>
      <c r="S387">
        <v>8.8458333333333332</v>
      </c>
    </row>
    <row r="388" spans="1:19" hidden="1" x14ac:dyDescent="0.3">
      <c r="A388" s="1" t="s">
        <v>387</v>
      </c>
      <c r="B388" s="2">
        <v>45055</v>
      </c>
      <c r="C388" s="3">
        <v>4800</v>
      </c>
      <c r="D388" s="3">
        <v>9.73</v>
      </c>
      <c r="E388" s="3">
        <v>46720</v>
      </c>
      <c r="F388" s="3">
        <v>4800</v>
      </c>
      <c r="G388" s="3">
        <v>8.89</v>
      </c>
      <c r="H388" s="3">
        <f t="shared" si="72"/>
        <v>-0.83999999999999986</v>
      </c>
      <c r="I388" s="3">
        <v>42672</v>
      </c>
      <c r="J388" s="3" t="s">
        <v>1</v>
      </c>
      <c r="K388" s="3" t="s">
        <v>1</v>
      </c>
      <c r="L388" s="3" t="s">
        <v>1</v>
      </c>
      <c r="M388" s="4">
        <v>-4048</v>
      </c>
      <c r="N388" s="5">
        <v>0</v>
      </c>
      <c r="O388" t="str">
        <f t="shared" si="73"/>
        <v>FINNIFTY</v>
      </c>
      <c r="P388" t="str">
        <f>IF(SEARCH("NIFTY",O388),RIGHT(A388,7),0)</f>
        <v>19450CE</v>
      </c>
      <c r="S388">
        <v>8.9</v>
      </c>
    </row>
    <row r="389" spans="1:19" x14ac:dyDescent="0.3">
      <c r="A389" s="1" t="s">
        <v>388</v>
      </c>
      <c r="B389" s="2">
        <v>45099</v>
      </c>
      <c r="C389" s="3">
        <v>1100</v>
      </c>
      <c r="D389" s="3">
        <v>103.54</v>
      </c>
      <c r="E389" s="3">
        <v>113896.25</v>
      </c>
      <c r="F389" s="3">
        <v>1100</v>
      </c>
      <c r="G389" s="3">
        <v>113.7</v>
      </c>
      <c r="H389" s="3">
        <f t="shared" si="72"/>
        <v>10.159999999999997</v>
      </c>
      <c r="I389" s="3">
        <v>125071.25</v>
      </c>
      <c r="J389" s="3" t="s">
        <v>1</v>
      </c>
      <c r="K389" s="3" t="s">
        <v>1</v>
      </c>
      <c r="L389" s="3" t="s">
        <v>1</v>
      </c>
      <c r="M389" s="5">
        <v>11175</v>
      </c>
      <c r="N389" s="5">
        <v>0</v>
      </c>
      <c r="O389" t="str">
        <f t="shared" si="73"/>
        <v>BANKNIFTY</v>
      </c>
      <c r="P389" t="str">
        <f>IF(SEARCH("NIFTY",O389),RIGHT(A389,7),0)</f>
        <v>43900CE</v>
      </c>
      <c r="Q389">
        <f t="shared" ref="Q389:Q390" si="74">M389/C389</f>
        <v>10.159090909090908</v>
      </c>
      <c r="S389">
        <v>8.9272727272727277</v>
      </c>
    </row>
    <row r="390" spans="1:19" x14ac:dyDescent="0.3">
      <c r="A390" s="1" t="s">
        <v>389</v>
      </c>
      <c r="B390" s="2">
        <v>45092</v>
      </c>
      <c r="C390" s="3">
        <v>2850</v>
      </c>
      <c r="D390" s="3">
        <v>37.75</v>
      </c>
      <c r="E390" s="3">
        <v>107601.25</v>
      </c>
      <c r="F390" s="3">
        <v>2850</v>
      </c>
      <c r="G390" s="3">
        <v>42.16</v>
      </c>
      <c r="H390" s="3">
        <f t="shared" si="72"/>
        <v>4.4099999999999966</v>
      </c>
      <c r="I390" s="3">
        <v>120163.75</v>
      </c>
      <c r="J390" s="3" t="s">
        <v>1</v>
      </c>
      <c r="K390" s="3" t="s">
        <v>1</v>
      </c>
      <c r="L390" s="3" t="s">
        <v>1</v>
      </c>
      <c r="M390" s="5">
        <v>12562.5</v>
      </c>
      <c r="N390" s="5">
        <v>0</v>
      </c>
      <c r="O390" t="str">
        <f t="shared" si="73"/>
        <v>BANKNIFTY</v>
      </c>
      <c r="P390" t="str">
        <f>IF(SEARCH("NIFTY",O390),RIGHT(A390,7),0)</f>
        <v>43200PE</v>
      </c>
      <c r="Q390">
        <f t="shared" si="74"/>
        <v>4.4078947368421053</v>
      </c>
      <c r="S390">
        <v>8.9482352941176462</v>
      </c>
    </row>
    <row r="391" spans="1:19" hidden="1" x14ac:dyDescent="0.3">
      <c r="A391" s="1" t="s">
        <v>390</v>
      </c>
      <c r="B391" s="2">
        <v>45167</v>
      </c>
      <c r="C391" s="3">
        <v>1800</v>
      </c>
      <c r="D391" s="3">
        <v>1.45</v>
      </c>
      <c r="E391" s="3">
        <v>2610</v>
      </c>
      <c r="F391" s="3">
        <v>1800</v>
      </c>
      <c r="G391" s="3">
        <v>1.05</v>
      </c>
      <c r="H391" s="3">
        <f t="shared" si="72"/>
        <v>-0.39999999999999991</v>
      </c>
      <c r="I391" s="3">
        <v>1890</v>
      </c>
      <c r="J391" s="3" t="s">
        <v>1</v>
      </c>
      <c r="K391" s="3" t="s">
        <v>1</v>
      </c>
      <c r="L391" s="3" t="s">
        <v>1</v>
      </c>
      <c r="M391" s="4">
        <v>-720</v>
      </c>
      <c r="N391" s="5">
        <v>0</v>
      </c>
      <c r="O391" t="str">
        <f t="shared" si="73"/>
        <v>FINNIFTY</v>
      </c>
      <c r="P391" t="str">
        <f>IF(SEARCH("NIFTY",O391),RIGHT(A391,7),0)</f>
        <v>19950CE</v>
      </c>
      <c r="S391">
        <v>9</v>
      </c>
    </row>
    <row r="392" spans="1:19" x14ac:dyDescent="0.3">
      <c r="A392" s="1" t="s">
        <v>391</v>
      </c>
      <c r="B392" s="2">
        <v>45064</v>
      </c>
      <c r="C392" s="3">
        <v>1350</v>
      </c>
      <c r="D392" s="3">
        <v>19.420000000000002</v>
      </c>
      <c r="E392" s="3">
        <v>26220</v>
      </c>
      <c r="F392" s="3">
        <v>1350</v>
      </c>
      <c r="G392" s="3">
        <v>19.68</v>
      </c>
      <c r="H392" s="3">
        <f t="shared" si="72"/>
        <v>0.25999999999999801</v>
      </c>
      <c r="I392" s="3">
        <v>26561.25</v>
      </c>
      <c r="J392" s="3" t="s">
        <v>1</v>
      </c>
      <c r="K392" s="3" t="s">
        <v>1</v>
      </c>
      <c r="L392" s="3" t="s">
        <v>1</v>
      </c>
      <c r="M392" s="5">
        <v>341.25</v>
      </c>
      <c r="N392" s="5">
        <v>0</v>
      </c>
      <c r="O392" t="str">
        <f t="shared" si="73"/>
        <v>BANKNIFTY</v>
      </c>
      <c r="P392" t="str">
        <f>IF(SEARCH("NIFTY",O392),RIGHT(A392,7),0)</f>
        <v>44200CE</v>
      </c>
      <c r="Q392">
        <f>M392/C392</f>
        <v>0.25277777777777777</v>
      </c>
      <c r="S392">
        <v>9.0791666666666675</v>
      </c>
    </row>
    <row r="393" spans="1:19" hidden="1" x14ac:dyDescent="0.3">
      <c r="A393" s="1" t="s">
        <v>392</v>
      </c>
      <c r="B393" s="2">
        <v>45078</v>
      </c>
      <c r="C393" s="3">
        <v>6750</v>
      </c>
      <c r="D393" s="3">
        <v>39.75</v>
      </c>
      <c r="E393" s="3">
        <v>268307.5</v>
      </c>
      <c r="F393" s="3">
        <v>6750</v>
      </c>
      <c r="G393" s="3">
        <v>32.85</v>
      </c>
      <c r="H393" s="3">
        <f t="shared" si="72"/>
        <v>-6.8999999999999986</v>
      </c>
      <c r="I393" s="3">
        <v>221705</v>
      </c>
      <c r="J393" s="3" t="s">
        <v>1</v>
      </c>
      <c r="K393" s="3" t="s">
        <v>1</v>
      </c>
      <c r="L393" s="3" t="s">
        <v>1</v>
      </c>
      <c r="M393" s="4">
        <v>-46602.5</v>
      </c>
      <c r="N393" s="5">
        <v>0</v>
      </c>
      <c r="O393" t="str">
        <f t="shared" si="73"/>
        <v>NIFTY</v>
      </c>
      <c r="P393" t="str">
        <f>IF(SEARCH("NIFTY",O393),RIGHT(A393,7),0)</f>
        <v>18550PE</v>
      </c>
      <c r="S393">
        <v>9.2307291666666664</v>
      </c>
    </row>
    <row r="394" spans="1:19" hidden="1" x14ac:dyDescent="0.3">
      <c r="A394" s="1" t="s">
        <v>393</v>
      </c>
      <c r="B394" s="2">
        <v>45057</v>
      </c>
      <c r="C394" s="3">
        <v>5800</v>
      </c>
      <c r="D394" s="3">
        <v>1.64</v>
      </c>
      <c r="E394" s="3">
        <v>9490</v>
      </c>
      <c r="F394" s="3">
        <v>5800</v>
      </c>
      <c r="G394" s="3">
        <v>1.48</v>
      </c>
      <c r="H394" s="3">
        <f t="shared" si="72"/>
        <v>-0.15999999999999992</v>
      </c>
      <c r="I394" s="3">
        <v>8610</v>
      </c>
      <c r="J394" s="3" t="s">
        <v>1</v>
      </c>
      <c r="K394" s="3" t="s">
        <v>1</v>
      </c>
      <c r="L394" s="3" t="s">
        <v>1</v>
      </c>
      <c r="M394" s="4">
        <v>-880</v>
      </c>
      <c r="N394" s="5">
        <v>0</v>
      </c>
      <c r="O394" t="str">
        <f t="shared" si="73"/>
        <v>NIFTY</v>
      </c>
      <c r="P394" t="str">
        <f>IF(SEARCH("NIFTY",O394),RIGHT(A394,7),0)</f>
        <v>17700PE</v>
      </c>
      <c r="S394">
        <v>9.2854166666666664</v>
      </c>
    </row>
    <row r="395" spans="1:19" x14ac:dyDescent="0.3">
      <c r="A395" s="1" t="s">
        <v>394</v>
      </c>
      <c r="B395" s="2">
        <v>45078</v>
      </c>
      <c r="C395" s="3">
        <v>3350</v>
      </c>
      <c r="D395" s="3">
        <v>4.3499999999999996</v>
      </c>
      <c r="E395" s="3">
        <v>14582.5</v>
      </c>
      <c r="F395" s="3">
        <v>3350</v>
      </c>
      <c r="G395" s="3">
        <v>4.2</v>
      </c>
      <c r="H395" s="3">
        <f t="shared" si="72"/>
        <v>-0.14999999999999947</v>
      </c>
      <c r="I395" s="3">
        <v>14058.75</v>
      </c>
      <c r="J395" s="3" t="s">
        <v>1</v>
      </c>
      <c r="K395" s="3" t="s">
        <v>1</v>
      </c>
      <c r="L395" s="3" t="s">
        <v>1</v>
      </c>
      <c r="M395" s="4">
        <v>-523.75</v>
      </c>
      <c r="N395" s="5">
        <v>0</v>
      </c>
      <c r="O395" t="str">
        <f t="shared" si="73"/>
        <v>BANKNIFTY</v>
      </c>
      <c r="P395" t="str">
        <f>IF(SEARCH("NIFTY",O395),RIGHT(A395,7),0)</f>
        <v>46000CE</v>
      </c>
      <c r="Q395">
        <f t="shared" ref="Q395:Q396" si="75">M395/C395</f>
        <v>-0.15634328358208954</v>
      </c>
      <c r="S395">
        <v>9.5500000000000007</v>
      </c>
    </row>
    <row r="396" spans="1:19" x14ac:dyDescent="0.3">
      <c r="A396" s="1" t="s">
        <v>395</v>
      </c>
      <c r="B396" s="2">
        <v>45113</v>
      </c>
      <c r="C396" s="3">
        <v>2400</v>
      </c>
      <c r="D396" s="3">
        <v>32.28</v>
      </c>
      <c r="E396" s="3">
        <v>77467.5</v>
      </c>
      <c r="F396" s="3">
        <v>2400</v>
      </c>
      <c r="G396" s="3">
        <v>31.09</v>
      </c>
      <c r="H396" s="3">
        <f t="shared" si="72"/>
        <v>-1.1900000000000013</v>
      </c>
      <c r="I396" s="3">
        <v>74605</v>
      </c>
      <c r="J396" s="3" t="s">
        <v>1</v>
      </c>
      <c r="K396" s="3" t="s">
        <v>1</v>
      </c>
      <c r="L396" s="3" t="s">
        <v>1</v>
      </c>
      <c r="M396" s="4">
        <v>-2862.5</v>
      </c>
      <c r="N396" s="5">
        <v>0</v>
      </c>
      <c r="O396" t="str">
        <f t="shared" si="73"/>
        <v>BANKNIFTY</v>
      </c>
      <c r="P396" t="str">
        <f>IF(SEARCH("NIFTY",O396),RIGHT(A396,7),0)</f>
        <v>45500CE</v>
      </c>
      <c r="Q396">
        <f t="shared" si="75"/>
        <v>-1.1927083333333333</v>
      </c>
      <c r="S396">
        <v>9.6062499999999993</v>
      </c>
    </row>
    <row r="397" spans="1:19" hidden="1" x14ac:dyDescent="0.3">
      <c r="A397" s="1" t="s">
        <v>396</v>
      </c>
      <c r="B397" s="2">
        <v>45169</v>
      </c>
      <c r="C397" s="3">
        <v>150000</v>
      </c>
      <c r="D397" s="3">
        <v>1.3</v>
      </c>
      <c r="E397" s="3">
        <v>195000</v>
      </c>
      <c r="F397" s="3">
        <v>150000</v>
      </c>
      <c r="G397" s="3">
        <v>0.6</v>
      </c>
      <c r="H397" s="3">
        <f t="shared" si="72"/>
        <v>-0.70000000000000007</v>
      </c>
      <c r="I397" s="3">
        <v>90000</v>
      </c>
      <c r="J397" s="3" t="s">
        <v>1</v>
      </c>
      <c r="K397" s="3" t="s">
        <v>1</v>
      </c>
      <c r="L397" s="3" t="s">
        <v>1</v>
      </c>
      <c r="M397" s="4">
        <v>-105000</v>
      </c>
      <c r="N397" s="5">
        <v>0</v>
      </c>
      <c r="O397" t="e">
        <f t="shared" si="73"/>
        <v>#VALUE!</v>
      </c>
      <c r="P397" t="e">
        <f>IF(SEARCH("NIFTY",O397),RIGHT(A397,7),0)</f>
        <v>#VALUE!</v>
      </c>
      <c r="S397">
        <v>9.7524999999999995</v>
      </c>
    </row>
    <row r="398" spans="1:19" hidden="1" x14ac:dyDescent="0.3">
      <c r="A398" s="1" t="s">
        <v>397</v>
      </c>
      <c r="B398" s="2">
        <v>45034</v>
      </c>
      <c r="C398" s="3">
        <v>4000</v>
      </c>
      <c r="D398" s="3">
        <v>4.4800000000000004</v>
      </c>
      <c r="E398" s="3">
        <v>17900</v>
      </c>
      <c r="F398" s="3">
        <v>4000</v>
      </c>
      <c r="G398" s="3">
        <v>4.67</v>
      </c>
      <c r="H398" s="3">
        <f t="shared" si="72"/>
        <v>0.1899999999999995</v>
      </c>
      <c r="I398" s="3">
        <v>18660</v>
      </c>
      <c r="J398" s="3" t="s">
        <v>1</v>
      </c>
      <c r="K398" s="3" t="s">
        <v>1</v>
      </c>
      <c r="L398" s="3" t="s">
        <v>1</v>
      </c>
      <c r="M398" s="5">
        <v>760</v>
      </c>
      <c r="N398" s="5">
        <v>0</v>
      </c>
      <c r="O398" t="str">
        <f t="shared" si="73"/>
        <v>FINNIFTY</v>
      </c>
      <c r="P398" t="str">
        <f>IF(SEARCH("NIFTY",O398),RIGHT(A398,7),0)</f>
        <v>18800PE</v>
      </c>
      <c r="S398">
        <v>9.9875000000000007</v>
      </c>
    </row>
    <row r="399" spans="1:19" x14ac:dyDescent="0.3">
      <c r="A399" s="1" t="s">
        <v>398</v>
      </c>
      <c r="B399" s="2">
        <v>45043</v>
      </c>
      <c r="C399" s="3">
        <v>4700</v>
      </c>
      <c r="D399" s="3">
        <v>25.86</v>
      </c>
      <c r="E399" s="3">
        <v>121562.5</v>
      </c>
      <c r="F399" s="3">
        <v>4700</v>
      </c>
      <c r="G399" s="3">
        <v>20.239999999999998</v>
      </c>
      <c r="H399" s="3">
        <f t="shared" si="72"/>
        <v>-5.620000000000001</v>
      </c>
      <c r="I399" s="3">
        <v>95125</v>
      </c>
      <c r="J399" s="3" t="s">
        <v>1</v>
      </c>
      <c r="K399" s="3" t="s">
        <v>1</v>
      </c>
      <c r="L399" s="3" t="s">
        <v>1</v>
      </c>
      <c r="M399" s="4">
        <v>-26437.5</v>
      </c>
      <c r="N399" s="5">
        <v>0</v>
      </c>
      <c r="O399" t="str">
        <f t="shared" si="73"/>
        <v>BANKNIFTY</v>
      </c>
      <c r="P399" t="str">
        <f>IF(SEARCH("NIFTY",O399),RIGHT(A399,7),0)</f>
        <v>43100CE</v>
      </c>
      <c r="Q399">
        <f>M399/C399</f>
        <v>-5.625</v>
      </c>
      <c r="S399">
        <v>10.022500000000001</v>
      </c>
    </row>
    <row r="400" spans="1:19" hidden="1" x14ac:dyDescent="0.3">
      <c r="A400" s="1" t="s">
        <v>399</v>
      </c>
      <c r="B400" s="2">
        <v>45055</v>
      </c>
      <c r="C400" s="3">
        <v>1600</v>
      </c>
      <c r="D400" s="3">
        <v>1</v>
      </c>
      <c r="E400" s="3">
        <v>1600</v>
      </c>
      <c r="F400" s="3">
        <v>1600</v>
      </c>
      <c r="G400" s="3">
        <v>0.95</v>
      </c>
      <c r="H400" s="3">
        <f t="shared" si="72"/>
        <v>-5.0000000000000044E-2</v>
      </c>
      <c r="I400" s="3">
        <v>1520</v>
      </c>
      <c r="J400" s="3" t="s">
        <v>1</v>
      </c>
      <c r="K400" s="3" t="s">
        <v>1</v>
      </c>
      <c r="L400" s="3" t="s">
        <v>1</v>
      </c>
      <c r="M400" s="4">
        <v>-80</v>
      </c>
      <c r="N400" s="5">
        <v>0</v>
      </c>
      <c r="O400" t="str">
        <f t="shared" si="73"/>
        <v>FINNIFTY</v>
      </c>
      <c r="P400" t="str">
        <f>IF(SEARCH("NIFTY",O400),RIGHT(A400,7),0)</f>
        <v>19600CE</v>
      </c>
      <c r="S400">
        <v>10.049166666666666</v>
      </c>
    </row>
    <row r="401" spans="1:19" x14ac:dyDescent="0.3">
      <c r="A401" s="1" t="s">
        <v>400</v>
      </c>
      <c r="B401" s="2">
        <v>45134</v>
      </c>
      <c r="C401" s="3">
        <v>1200</v>
      </c>
      <c r="D401" s="3">
        <v>12.54</v>
      </c>
      <c r="E401" s="3">
        <v>15045</v>
      </c>
      <c r="F401" s="3">
        <v>1200</v>
      </c>
      <c r="G401" s="3">
        <v>12.89</v>
      </c>
      <c r="H401" s="3">
        <f t="shared" si="72"/>
        <v>0.35000000000000142</v>
      </c>
      <c r="I401" s="3">
        <v>15465</v>
      </c>
      <c r="J401" s="3" t="s">
        <v>1</v>
      </c>
      <c r="K401" s="3" t="s">
        <v>1</v>
      </c>
      <c r="L401" s="3" t="s">
        <v>1</v>
      </c>
      <c r="M401" s="5">
        <v>420</v>
      </c>
      <c r="N401" s="5">
        <v>0</v>
      </c>
      <c r="O401" t="str">
        <f t="shared" si="73"/>
        <v>BANKNIFTY</v>
      </c>
      <c r="P401" t="str">
        <f>IF(SEARCH("NIFTY",O401),RIGHT(A401,7),0)</f>
        <v>44800PE</v>
      </c>
      <c r="Q401">
        <f>M401/C401</f>
        <v>0.35</v>
      </c>
      <c r="S401">
        <v>10.159090909090908</v>
      </c>
    </row>
    <row r="402" spans="1:19" hidden="1" x14ac:dyDescent="0.3">
      <c r="A402" s="1" t="s">
        <v>401</v>
      </c>
      <c r="B402" s="2">
        <v>45169</v>
      </c>
      <c r="C402" s="3">
        <v>250000</v>
      </c>
      <c r="D402" s="3">
        <v>2.0699999999999998</v>
      </c>
      <c r="E402" s="3">
        <v>516500</v>
      </c>
      <c r="F402" s="3">
        <v>250000</v>
      </c>
      <c r="G402" s="3">
        <v>3.74</v>
      </c>
      <c r="H402" s="3">
        <f t="shared" si="72"/>
        <v>1.6700000000000004</v>
      </c>
      <c r="I402" s="3">
        <v>934500</v>
      </c>
      <c r="J402" s="3" t="s">
        <v>1</v>
      </c>
      <c r="K402" s="3" t="s">
        <v>1</v>
      </c>
      <c r="L402" s="3" t="s">
        <v>1</v>
      </c>
      <c r="M402" s="5">
        <v>418000</v>
      </c>
      <c r="N402" s="5">
        <v>0</v>
      </c>
      <c r="O402" t="e">
        <f t="shared" si="73"/>
        <v>#VALUE!</v>
      </c>
      <c r="P402" t="e">
        <f>IF(SEARCH("NIFTY",O402),RIGHT(A402,7),0)</f>
        <v>#VALUE!</v>
      </c>
      <c r="S402">
        <v>10.3</v>
      </c>
    </row>
    <row r="403" spans="1:19" x14ac:dyDescent="0.3">
      <c r="A403" s="1" t="s">
        <v>402</v>
      </c>
      <c r="B403" s="2">
        <v>45043</v>
      </c>
      <c r="C403" s="3">
        <v>1000</v>
      </c>
      <c r="D403" s="3">
        <v>8.19</v>
      </c>
      <c r="E403" s="3">
        <v>8185</v>
      </c>
      <c r="F403" s="3">
        <v>1000</v>
      </c>
      <c r="G403" s="3">
        <v>20.82</v>
      </c>
      <c r="H403" s="3">
        <f t="shared" si="72"/>
        <v>12.63</v>
      </c>
      <c r="I403" s="3">
        <v>20820</v>
      </c>
      <c r="J403" s="3" t="s">
        <v>1</v>
      </c>
      <c r="K403" s="3" t="s">
        <v>1</v>
      </c>
      <c r="L403" s="3" t="s">
        <v>1</v>
      </c>
      <c r="M403" s="5">
        <v>12635</v>
      </c>
      <c r="N403" s="5">
        <v>0</v>
      </c>
      <c r="O403" t="str">
        <f t="shared" si="73"/>
        <v>BANKNIFTY</v>
      </c>
      <c r="P403" t="str">
        <f>IF(SEARCH("NIFTY",O403),RIGHT(A403,7),0)</f>
        <v>42500PE</v>
      </c>
      <c r="Q403">
        <f t="shared" ref="Q403:Q404" si="76">M403/C403</f>
        <v>12.635</v>
      </c>
      <c r="S403">
        <v>10.467045454545454</v>
      </c>
    </row>
    <row r="404" spans="1:19" x14ac:dyDescent="0.3">
      <c r="A404" s="1" t="s">
        <v>403</v>
      </c>
      <c r="B404" s="2">
        <v>45127</v>
      </c>
      <c r="C404" s="3">
        <v>500</v>
      </c>
      <c r="D404" s="3">
        <v>25.65</v>
      </c>
      <c r="E404" s="3">
        <v>12825</v>
      </c>
      <c r="F404" s="3">
        <v>500</v>
      </c>
      <c r="G404" s="3">
        <v>76.83</v>
      </c>
      <c r="H404" s="3">
        <f t="shared" si="72"/>
        <v>51.18</v>
      </c>
      <c r="I404" s="3">
        <v>38416.25</v>
      </c>
      <c r="J404" s="3" t="s">
        <v>1</v>
      </c>
      <c r="K404" s="3" t="s">
        <v>1</v>
      </c>
      <c r="L404" s="3" t="s">
        <v>1</v>
      </c>
      <c r="M404" s="5">
        <v>25591.25</v>
      </c>
      <c r="N404" s="5">
        <v>0</v>
      </c>
      <c r="O404" t="str">
        <f t="shared" si="73"/>
        <v>BANKNIFTY</v>
      </c>
      <c r="P404" t="str">
        <f>IF(SEARCH("NIFTY",O404),RIGHT(A404,7),0)</f>
        <v>45000PE</v>
      </c>
      <c r="Q404">
        <f t="shared" si="76"/>
        <v>51.182499999999997</v>
      </c>
      <c r="S404">
        <v>10.926190476190476</v>
      </c>
    </row>
    <row r="405" spans="1:19" hidden="1" x14ac:dyDescent="0.3">
      <c r="A405" s="1" t="s">
        <v>404</v>
      </c>
      <c r="B405" s="2">
        <v>45167</v>
      </c>
      <c r="C405" s="3">
        <v>5040</v>
      </c>
      <c r="D405" s="3">
        <v>2.27</v>
      </c>
      <c r="E405" s="3">
        <v>11430</v>
      </c>
      <c r="F405" s="3">
        <v>5040</v>
      </c>
      <c r="G405" s="3">
        <v>2.2400000000000002</v>
      </c>
      <c r="H405" s="3">
        <f t="shared" si="72"/>
        <v>-2.9999999999999805E-2</v>
      </c>
      <c r="I405" s="3">
        <v>11304</v>
      </c>
      <c r="J405" s="3" t="s">
        <v>1</v>
      </c>
      <c r="K405" s="3" t="s">
        <v>1</v>
      </c>
      <c r="L405" s="3" t="s">
        <v>1</v>
      </c>
      <c r="M405" s="4">
        <v>-126</v>
      </c>
      <c r="N405" s="5">
        <v>0</v>
      </c>
      <c r="O405" t="str">
        <f t="shared" si="73"/>
        <v>FINNIFTY</v>
      </c>
      <c r="P405" t="str">
        <f>IF(SEARCH("NIFTY",O405),RIGHT(A405,7),0)</f>
        <v>19700PE</v>
      </c>
      <c r="S405">
        <v>10.96875</v>
      </c>
    </row>
    <row r="406" spans="1:19" hidden="1" x14ac:dyDescent="0.3">
      <c r="A406" s="1" t="s">
        <v>405</v>
      </c>
      <c r="B406" s="2">
        <v>45036</v>
      </c>
      <c r="C406" s="3">
        <v>3500</v>
      </c>
      <c r="D406" s="3">
        <v>0.79</v>
      </c>
      <c r="E406" s="3">
        <v>2775</v>
      </c>
      <c r="F406" s="3">
        <v>3500</v>
      </c>
      <c r="G406" s="3">
        <v>0.84</v>
      </c>
      <c r="H406" s="3">
        <f t="shared" si="72"/>
        <v>4.9999999999999933E-2</v>
      </c>
      <c r="I406" s="3">
        <v>2950</v>
      </c>
      <c r="J406" s="3" t="s">
        <v>1</v>
      </c>
      <c r="K406" s="3" t="s">
        <v>1</v>
      </c>
      <c r="L406" s="3" t="s">
        <v>1</v>
      </c>
      <c r="M406" s="5">
        <v>175</v>
      </c>
      <c r="N406" s="5">
        <v>0</v>
      </c>
      <c r="O406" t="str">
        <f t="shared" si="73"/>
        <v>NIFTY</v>
      </c>
      <c r="P406" t="str">
        <f>IF(SEARCH("NIFTY",O406),RIGHT(A406,7),0)</f>
        <v>17300PE</v>
      </c>
      <c r="S406">
        <v>11.34</v>
      </c>
    </row>
    <row r="407" spans="1:19" hidden="1" x14ac:dyDescent="0.3">
      <c r="A407" s="1" t="s">
        <v>406</v>
      </c>
      <c r="B407" s="2">
        <v>45085</v>
      </c>
      <c r="C407" s="3">
        <v>6000</v>
      </c>
      <c r="D407" s="3">
        <v>6.83</v>
      </c>
      <c r="E407" s="3">
        <v>40950</v>
      </c>
      <c r="F407" s="3">
        <v>6000</v>
      </c>
      <c r="G407" s="3">
        <v>6.65</v>
      </c>
      <c r="H407" s="3">
        <f t="shared" si="72"/>
        <v>-0.17999999999999972</v>
      </c>
      <c r="I407" s="3">
        <v>39927.5</v>
      </c>
      <c r="J407" s="3" t="s">
        <v>1</v>
      </c>
      <c r="K407" s="3" t="s">
        <v>1</v>
      </c>
      <c r="L407" s="3" t="s">
        <v>1</v>
      </c>
      <c r="M407" s="4">
        <v>-1022.5</v>
      </c>
      <c r="N407" s="5">
        <v>0</v>
      </c>
      <c r="O407" t="str">
        <f t="shared" si="73"/>
        <v>NIFTY</v>
      </c>
      <c r="P407" t="str">
        <f>IF(SEARCH("NIFTY",O407),RIGHT(A407,7),0)</f>
        <v>18650PE</v>
      </c>
      <c r="S407">
        <v>11.492857142857142</v>
      </c>
    </row>
    <row r="408" spans="1:19" x14ac:dyDescent="0.3">
      <c r="A408" s="1" t="s">
        <v>407</v>
      </c>
      <c r="B408" s="2">
        <v>45092</v>
      </c>
      <c r="C408" s="3">
        <v>3600</v>
      </c>
      <c r="D408" s="3">
        <v>44.57</v>
      </c>
      <c r="E408" s="3">
        <v>160466.25</v>
      </c>
      <c r="F408" s="3">
        <v>3600</v>
      </c>
      <c r="G408" s="3">
        <v>42.21</v>
      </c>
      <c r="H408" s="3">
        <f t="shared" si="72"/>
        <v>-2.3599999999999994</v>
      </c>
      <c r="I408" s="3">
        <v>151940</v>
      </c>
      <c r="J408" s="3" t="s">
        <v>1</v>
      </c>
      <c r="K408" s="3" t="s">
        <v>1</v>
      </c>
      <c r="L408" s="3" t="s">
        <v>1</v>
      </c>
      <c r="M408" s="4">
        <v>-8526.25</v>
      </c>
      <c r="N408" s="5">
        <v>0</v>
      </c>
      <c r="O408" t="str">
        <f t="shared" si="73"/>
        <v>BANKNIFTY</v>
      </c>
      <c r="P408" t="str">
        <f>IF(SEARCH("NIFTY",O408),RIGHT(A408,7),0)</f>
        <v>43300PE</v>
      </c>
      <c r="Q408">
        <f t="shared" ref="Q408:Q411" si="77">M408/C408</f>
        <v>-2.3684027777777779</v>
      </c>
      <c r="S408">
        <v>11.532500000000001</v>
      </c>
    </row>
    <row r="409" spans="1:19" x14ac:dyDescent="0.3">
      <c r="A409" s="1" t="s">
        <v>408</v>
      </c>
      <c r="B409" s="2">
        <v>45120</v>
      </c>
      <c r="C409" s="3">
        <v>2200</v>
      </c>
      <c r="D409" s="3">
        <v>83.17</v>
      </c>
      <c r="E409" s="3">
        <v>182981.25</v>
      </c>
      <c r="F409" s="3">
        <v>2200</v>
      </c>
      <c r="G409" s="3">
        <v>78.430000000000007</v>
      </c>
      <c r="H409" s="3">
        <f t="shared" si="72"/>
        <v>-4.7399999999999949</v>
      </c>
      <c r="I409" s="3">
        <v>172552.5</v>
      </c>
      <c r="J409" s="3" t="s">
        <v>1</v>
      </c>
      <c r="K409" s="3" t="s">
        <v>1</v>
      </c>
      <c r="L409" s="3" t="s">
        <v>1</v>
      </c>
      <c r="M409" s="4">
        <v>-10428.75</v>
      </c>
      <c r="N409" s="5">
        <v>0</v>
      </c>
      <c r="O409" t="str">
        <f t="shared" si="73"/>
        <v>BANKNIFTY</v>
      </c>
      <c r="P409" t="str">
        <f>IF(SEARCH("NIFTY",O409),RIGHT(A409,7),0)</f>
        <v>45400CE</v>
      </c>
      <c r="Q409">
        <f t="shared" si="77"/>
        <v>-4.740340909090909</v>
      </c>
      <c r="S409">
        <v>11.654999999999999</v>
      </c>
    </row>
    <row r="410" spans="1:19" x14ac:dyDescent="0.3">
      <c r="A410" s="1" t="s">
        <v>409</v>
      </c>
      <c r="B410" s="2">
        <v>45050</v>
      </c>
      <c r="C410" s="3">
        <v>5275</v>
      </c>
      <c r="D410" s="3">
        <v>11.66</v>
      </c>
      <c r="E410" s="3">
        <v>61532.5</v>
      </c>
      <c r="F410" s="3">
        <v>5275</v>
      </c>
      <c r="G410" s="3">
        <v>12.85</v>
      </c>
      <c r="H410" s="3">
        <f t="shared" si="72"/>
        <v>1.1899999999999995</v>
      </c>
      <c r="I410" s="3">
        <v>67782.5</v>
      </c>
      <c r="J410" s="3" t="s">
        <v>1</v>
      </c>
      <c r="K410" s="3" t="s">
        <v>1</v>
      </c>
      <c r="L410" s="3" t="s">
        <v>1</v>
      </c>
      <c r="M410" s="5">
        <v>6250</v>
      </c>
      <c r="N410" s="5">
        <v>0</v>
      </c>
      <c r="O410" t="str">
        <f t="shared" si="73"/>
        <v>BANKNIFTY</v>
      </c>
      <c r="P410" t="str">
        <f>IF(SEARCH("NIFTY",O410),RIGHT(A410,7),0)</f>
        <v>44000CE</v>
      </c>
      <c r="Q410">
        <f t="shared" si="77"/>
        <v>1.1848341232227488</v>
      </c>
      <c r="S410">
        <v>11.847826086956522</v>
      </c>
    </row>
    <row r="411" spans="1:19" x14ac:dyDescent="0.3">
      <c r="A411" s="1" t="s">
        <v>410</v>
      </c>
      <c r="B411" s="2">
        <v>45071</v>
      </c>
      <c r="C411" s="3">
        <v>600</v>
      </c>
      <c r="D411" s="3">
        <v>0.1</v>
      </c>
      <c r="E411" s="3">
        <v>60</v>
      </c>
      <c r="F411" s="3">
        <v>600</v>
      </c>
      <c r="G411" s="3">
        <v>9</v>
      </c>
      <c r="H411" s="3">
        <f t="shared" si="72"/>
        <v>8.9</v>
      </c>
      <c r="I411" s="3">
        <v>5400</v>
      </c>
      <c r="J411" s="3" t="s">
        <v>1</v>
      </c>
      <c r="K411" s="3" t="s">
        <v>1</v>
      </c>
      <c r="L411" s="3" t="s">
        <v>1</v>
      </c>
      <c r="M411" s="5">
        <v>5340</v>
      </c>
      <c r="N411" s="5">
        <v>0</v>
      </c>
      <c r="O411" t="str">
        <f t="shared" si="73"/>
        <v>BANKNIFTY</v>
      </c>
      <c r="P411" t="str">
        <f>IF(SEARCH("NIFTY",O411),RIGHT(A411,7),0)</f>
        <v>43800CE</v>
      </c>
      <c r="Q411">
        <f t="shared" si="77"/>
        <v>8.9</v>
      </c>
      <c r="S411">
        <v>12.009375</v>
      </c>
    </row>
    <row r="412" spans="1:19" hidden="1" x14ac:dyDescent="0.3">
      <c r="A412" s="1" t="s">
        <v>411</v>
      </c>
      <c r="B412" s="2">
        <v>45197</v>
      </c>
      <c r="C412" s="3">
        <v>16875</v>
      </c>
      <c r="D412" s="3">
        <v>250.83</v>
      </c>
      <c r="E412" s="3">
        <v>4232756.25</v>
      </c>
      <c r="F412" s="3">
        <v>16875</v>
      </c>
      <c r="G412" s="3">
        <v>258.45999999999998</v>
      </c>
      <c r="H412" s="3">
        <f t="shared" si="72"/>
        <v>7.629999999999967</v>
      </c>
      <c r="I412" s="3">
        <v>4361512.5</v>
      </c>
      <c r="J412" s="3" t="s">
        <v>1</v>
      </c>
      <c r="K412" s="3" t="s">
        <v>1</v>
      </c>
      <c r="L412" s="3" t="s">
        <v>1</v>
      </c>
      <c r="M412" s="5">
        <v>128756.25</v>
      </c>
      <c r="N412" s="5">
        <v>0</v>
      </c>
      <c r="O412" t="e">
        <f t="shared" si="73"/>
        <v>#VALUE!</v>
      </c>
      <c r="P412" t="e">
        <f>IF(SEARCH("NIFTY",O412),RIGHT(A412,7),0)</f>
        <v>#VALUE!</v>
      </c>
      <c r="S412">
        <v>12.183522727272727</v>
      </c>
    </row>
    <row r="413" spans="1:19" x14ac:dyDescent="0.3">
      <c r="A413" s="1" t="s">
        <v>412</v>
      </c>
      <c r="B413" s="2">
        <v>45036</v>
      </c>
      <c r="C413" s="3">
        <v>1000</v>
      </c>
      <c r="D413" s="3">
        <v>27.03</v>
      </c>
      <c r="E413" s="3">
        <v>27030</v>
      </c>
      <c r="F413" s="3">
        <v>1000</v>
      </c>
      <c r="G413" s="3">
        <v>41.53</v>
      </c>
      <c r="H413" s="3">
        <f t="shared" si="72"/>
        <v>14.5</v>
      </c>
      <c r="I413" s="3">
        <v>41526.25</v>
      </c>
      <c r="J413" s="3" t="s">
        <v>1</v>
      </c>
      <c r="K413" s="3" t="s">
        <v>1</v>
      </c>
      <c r="L413" s="3" t="s">
        <v>1</v>
      </c>
      <c r="M413" s="5">
        <v>14496.25</v>
      </c>
      <c r="N413" s="5">
        <v>0</v>
      </c>
      <c r="O413" t="str">
        <f t="shared" si="73"/>
        <v>BANKNIFTY</v>
      </c>
      <c r="P413" t="str">
        <f>IF(SEARCH("NIFTY",O413),RIGHT(A413,7),0)</f>
        <v>42700CE</v>
      </c>
      <c r="Q413">
        <f>M413/C413</f>
        <v>14.49625</v>
      </c>
      <c r="S413">
        <v>12.297499999999999</v>
      </c>
    </row>
    <row r="414" spans="1:19" hidden="1" x14ac:dyDescent="0.3">
      <c r="A414" s="1" t="s">
        <v>413</v>
      </c>
      <c r="B414" s="2">
        <v>45092</v>
      </c>
      <c r="C414" s="3">
        <v>5000</v>
      </c>
      <c r="D414" s="3">
        <v>67.180000000000007</v>
      </c>
      <c r="E414" s="3">
        <v>335912.5</v>
      </c>
      <c r="F414" s="3">
        <v>5000</v>
      </c>
      <c r="G414" s="3">
        <v>46.77</v>
      </c>
      <c r="H414" s="3">
        <f t="shared" si="72"/>
        <v>-20.410000000000004</v>
      </c>
      <c r="I414" s="3">
        <v>233855</v>
      </c>
      <c r="J414" s="3" t="s">
        <v>1</v>
      </c>
      <c r="K414" s="3" t="s">
        <v>1</v>
      </c>
      <c r="L414" s="3" t="s">
        <v>1</v>
      </c>
      <c r="M414" s="4">
        <v>-102057.5</v>
      </c>
      <c r="N414" s="5">
        <v>0</v>
      </c>
      <c r="O414" t="str">
        <f t="shared" si="73"/>
        <v>NIFTY</v>
      </c>
      <c r="P414" t="str">
        <f>IF(SEARCH("NIFTY",O414),RIGHT(A414,7),0)</f>
        <v>18750PE</v>
      </c>
      <c r="S414">
        <v>12.635</v>
      </c>
    </row>
    <row r="415" spans="1:19" x14ac:dyDescent="0.3">
      <c r="A415" s="1" t="s">
        <v>414</v>
      </c>
      <c r="B415" s="2">
        <v>45169</v>
      </c>
      <c r="C415" s="3">
        <v>2295</v>
      </c>
      <c r="D415" s="3">
        <v>49.89</v>
      </c>
      <c r="E415" s="3">
        <v>114499.5</v>
      </c>
      <c r="F415" s="3">
        <v>2295</v>
      </c>
      <c r="G415" s="3">
        <v>48.25</v>
      </c>
      <c r="H415" s="3">
        <f t="shared" si="72"/>
        <v>-1.6400000000000006</v>
      </c>
      <c r="I415" s="3">
        <v>110729.25</v>
      </c>
      <c r="J415" s="3" t="s">
        <v>1</v>
      </c>
      <c r="K415" s="3" t="s">
        <v>1</v>
      </c>
      <c r="L415" s="3" t="s">
        <v>1</v>
      </c>
      <c r="M415" s="4">
        <v>-3770.25</v>
      </c>
      <c r="N415" s="5">
        <v>0</v>
      </c>
      <c r="O415" t="str">
        <f t="shared" si="73"/>
        <v>BANKNIFTY</v>
      </c>
      <c r="P415" t="str">
        <f>IF(SEARCH("NIFTY",O415),RIGHT(A415,7),0)</f>
        <v>44700CE</v>
      </c>
      <c r="Q415">
        <f t="shared" ref="Q415:Q416" si="78">M415/C415</f>
        <v>-1.6428104575163398</v>
      </c>
      <c r="S415">
        <v>13.05</v>
      </c>
    </row>
    <row r="416" spans="1:19" x14ac:dyDescent="0.3">
      <c r="A416" s="1" t="s">
        <v>415</v>
      </c>
      <c r="B416" s="2">
        <v>45113</v>
      </c>
      <c r="C416" s="3">
        <v>350</v>
      </c>
      <c r="D416" s="3">
        <v>10.9</v>
      </c>
      <c r="E416" s="3">
        <v>3815</v>
      </c>
      <c r="F416" s="3">
        <v>350</v>
      </c>
      <c r="G416" s="3">
        <v>7.89</v>
      </c>
      <c r="H416" s="3">
        <f t="shared" si="72"/>
        <v>-3.0100000000000007</v>
      </c>
      <c r="I416" s="3">
        <v>2762.5</v>
      </c>
      <c r="J416" s="3" t="s">
        <v>1</v>
      </c>
      <c r="K416" s="3" t="s">
        <v>1</v>
      </c>
      <c r="L416" s="3" t="s">
        <v>1</v>
      </c>
      <c r="M416" s="4">
        <v>-1052.5</v>
      </c>
      <c r="N416" s="5">
        <v>0</v>
      </c>
      <c r="O416" t="str">
        <f t="shared" si="73"/>
        <v>BANKNIFTY</v>
      </c>
      <c r="P416" t="str">
        <f>IF(SEARCH("NIFTY",O416),RIGHT(A416,7),0)</f>
        <v>42500PE</v>
      </c>
      <c r="Q416">
        <f t="shared" si="78"/>
        <v>-3.0071428571428571</v>
      </c>
      <c r="S416">
        <v>13.1225</v>
      </c>
    </row>
    <row r="417" spans="1:19" hidden="1" x14ac:dyDescent="0.3">
      <c r="A417" s="1" t="s">
        <v>416</v>
      </c>
      <c r="B417" s="2">
        <v>45057</v>
      </c>
      <c r="C417" s="3">
        <v>13100</v>
      </c>
      <c r="D417" s="3">
        <v>27.06</v>
      </c>
      <c r="E417" s="3">
        <v>354457.5</v>
      </c>
      <c r="F417" s="3">
        <v>13100</v>
      </c>
      <c r="G417" s="3">
        <v>35.229999999999997</v>
      </c>
      <c r="H417" s="3">
        <f t="shared" si="72"/>
        <v>8.1699999999999982</v>
      </c>
      <c r="I417" s="3">
        <v>461537.5</v>
      </c>
      <c r="J417" s="3" t="s">
        <v>1</v>
      </c>
      <c r="K417" s="3" t="s">
        <v>1</v>
      </c>
      <c r="L417" s="3" t="s">
        <v>1</v>
      </c>
      <c r="M417" s="5">
        <v>107080</v>
      </c>
      <c r="N417" s="5">
        <v>0</v>
      </c>
      <c r="O417" t="str">
        <f t="shared" si="73"/>
        <v>NIFTY</v>
      </c>
      <c r="P417" t="str">
        <f>IF(SEARCH("NIFTY",O417),RIGHT(A417,7),0)</f>
        <v>18200PE</v>
      </c>
      <c r="S417">
        <v>14.49625</v>
      </c>
    </row>
    <row r="418" spans="1:19" x14ac:dyDescent="0.3">
      <c r="A418" s="1" t="s">
        <v>417</v>
      </c>
      <c r="B418" s="2">
        <v>45064</v>
      </c>
      <c r="C418" s="3">
        <v>650</v>
      </c>
      <c r="D418" s="3">
        <v>50.37</v>
      </c>
      <c r="E418" s="3">
        <v>32741.25</v>
      </c>
      <c r="F418" s="3">
        <v>650</v>
      </c>
      <c r="G418" s="3">
        <v>43.54</v>
      </c>
      <c r="H418" s="3">
        <f t="shared" si="72"/>
        <v>-6.8299999999999983</v>
      </c>
      <c r="I418" s="3">
        <v>28302.5</v>
      </c>
      <c r="J418" s="3" t="s">
        <v>1</v>
      </c>
      <c r="K418" s="3" t="s">
        <v>1</v>
      </c>
      <c r="L418" s="3" t="s">
        <v>1</v>
      </c>
      <c r="M418" s="4">
        <v>-4438.75</v>
      </c>
      <c r="N418" s="5">
        <v>0</v>
      </c>
      <c r="O418" t="str">
        <f t="shared" si="73"/>
        <v>BANKNIFTY</v>
      </c>
      <c r="P418" t="str">
        <f>IF(SEARCH("NIFTY",O418),RIGHT(A418,7),0)</f>
        <v>42500PE</v>
      </c>
      <c r="Q418">
        <f t="shared" ref="Q418:Q419" si="79">M418/C418</f>
        <v>-6.828846153846154</v>
      </c>
      <c r="S418">
        <v>14.6890625</v>
      </c>
    </row>
    <row r="419" spans="1:19" x14ac:dyDescent="0.3">
      <c r="A419" s="1" t="s">
        <v>418</v>
      </c>
      <c r="B419" s="2">
        <v>45064</v>
      </c>
      <c r="C419" s="3">
        <v>700</v>
      </c>
      <c r="D419" s="3">
        <v>44.77</v>
      </c>
      <c r="E419" s="3">
        <v>31340</v>
      </c>
      <c r="F419" s="3">
        <v>700</v>
      </c>
      <c r="G419" s="3">
        <v>77.42</v>
      </c>
      <c r="H419" s="3">
        <f t="shared" si="72"/>
        <v>32.65</v>
      </c>
      <c r="I419" s="3">
        <v>54192.5</v>
      </c>
      <c r="J419" s="3" t="s">
        <v>1</v>
      </c>
      <c r="K419" s="3" t="s">
        <v>1</v>
      </c>
      <c r="L419" s="3" t="s">
        <v>1</v>
      </c>
      <c r="M419" s="5">
        <v>22852.5</v>
      </c>
      <c r="N419" s="5">
        <v>0</v>
      </c>
      <c r="O419" t="str">
        <f t="shared" si="73"/>
        <v>BANKNIFTY</v>
      </c>
      <c r="P419" t="str">
        <f>IF(SEARCH("NIFTY",O419),RIGHT(A419,7),0)</f>
        <v>43000PE</v>
      </c>
      <c r="Q419">
        <f t="shared" si="79"/>
        <v>32.646428571428572</v>
      </c>
      <c r="S419">
        <v>14.907291666666667</v>
      </c>
    </row>
    <row r="420" spans="1:19" hidden="1" x14ac:dyDescent="0.3">
      <c r="A420" s="1" t="s">
        <v>419</v>
      </c>
      <c r="B420" s="2">
        <v>45092</v>
      </c>
      <c r="C420" s="3">
        <v>2500</v>
      </c>
      <c r="D420" s="3">
        <v>5.95</v>
      </c>
      <c r="E420" s="3">
        <v>14875</v>
      </c>
      <c r="F420" s="3">
        <v>2500</v>
      </c>
      <c r="G420" s="3">
        <v>7.9</v>
      </c>
      <c r="H420" s="3">
        <f t="shared" si="72"/>
        <v>1.9500000000000002</v>
      </c>
      <c r="I420" s="3">
        <v>19740</v>
      </c>
      <c r="J420" s="3" t="s">
        <v>1</v>
      </c>
      <c r="K420" s="3" t="s">
        <v>1</v>
      </c>
      <c r="L420" s="3" t="s">
        <v>1</v>
      </c>
      <c r="M420" s="5">
        <v>4865</v>
      </c>
      <c r="N420" s="5">
        <v>0</v>
      </c>
      <c r="O420" t="str">
        <f t="shared" si="73"/>
        <v>NIFTY</v>
      </c>
      <c r="P420" t="str">
        <f>IF(SEARCH("NIFTY",O420),RIGHT(A420,7),0)</f>
        <v>18800CE</v>
      </c>
      <c r="S420">
        <v>16.164999999999999</v>
      </c>
    </row>
    <row r="421" spans="1:19" hidden="1" x14ac:dyDescent="0.3">
      <c r="A421" s="1" t="s">
        <v>420</v>
      </c>
      <c r="B421" s="2">
        <v>45078</v>
      </c>
      <c r="C421" s="3">
        <v>3000</v>
      </c>
      <c r="D421" s="3">
        <v>0.93</v>
      </c>
      <c r="E421" s="3">
        <v>2775</v>
      </c>
      <c r="F421" s="3">
        <v>3000</v>
      </c>
      <c r="G421" s="3">
        <v>0.85</v>
      </c>
      <c r="H421" s="3">
        <f t="shared" si="72"/>
        <v>-8.0000000000000071E-2</v>
      </c>
      <c r="I421" s="3">
        <v>2550</v>
      </c>
      <c r="J421" s="3" t="s">
        <v>1</v>
      </c>
      <c r="K421" s="3" t="s">
        <v>1</v>
      </c>
      <c r="L421" s="3" t="s">
        <v>1</v>
      </c>
      <c r="M421" s="4">
        <v>-225</v>
      </c>
      <c r="N421" s="5">
        <v>0</v>
      </c>
      <c r="O421" t="str">
        <f t="shared" si="73"/>
        <v>NIFTY</v>
      </c>
      <c r="P421" t="str">
        <f>IF(SEARCH("NIFTY",O421),RIGHT(A421,7),0)</f>
        <v>18900CE</v>
      </c>
      <c r="S421">
        <v>17.600000000000001</v>
      </c>
    </row>
    <row r="422" spans="1:19" x14ac:dyDescent="0.3">
      <c r="A422" s="1" t="s">
        <v>421</v>
      </c>
      <c r="B422" s="2">
        <v>45113</v>
      </c>
      <c r="C422" s="3">
        <v>1700</v>
      </c>
      <c r="D422" s="3">
        <v>88.94</v>
      </c>
      <c r="E422" s="3">
        <v>151202.5</v>
      </c>
      <c r="F422" s="3">
        <v>1700</v>
      </c>
      <c r="G422" s="3">
        <v>94.26</v>
      </c>
      <c r="H422" s="3">
        <f t="shared" si="72"/>
        <v>5.3200000000000074</v>
      </c>
      <c r="I422" s="3">
        <v>160245</v>
      </c>
      <c r="J422" s="3" t="s">
        <v>1</v>
      </c>
      <c r="K422" s="3" t="s">
        <v>1</v>
      </c>
      <c r="L422" s="3" t="s">
        <v>1</v>
      </c>
      <c r="M422" s="5">
        <v>9042.5</v>
      </c>
      <c r="N422" s="5">
        <v>0</v>
      </c>
      <c r="O422" t="str">
        <f t="shared" si="73"/>
        <v>BANKNIFTY</v>
      </c>
      <c r="P422" t="str">
        <f>IF(SEARCH("NIFTY",O422),RIGHT(A422,7),0)</f>
        <v>45100PE</v>
      </c>
      <c r="Q422">
        <f t="shared" ref="Q422:Q425" si="80">M422/C422</f>
        <v>5.3191176470588237</v>
      </c>
      <c r="S422">
        <v>18.236470588235296</v>
      </c>
    </row>
    <row r="423" spans="1:19" x14ac:dyDescent="0.3">
      <c r="A423" s="1" t="s">
        <v>422</v>
      </c>
      <c r="B423" s="2">
        <v>45043</v>
      </c>
      <c r="C423" s="3">
        <v>500</v>
      </c>
      <c r="D423" s="3">
        <v>69.42</v>
      </c>
      <c r="E423" s="3">
        <v>34707.5</v>
      </c>
      <c r="F423" s="3">
        <v>500</v>
      </c>
      <c r="G423" s="3">
        <v>58.1</v>
      </c>
      <c r="H423" s="3">
        <f t="shared" si="72"/>
        <v>-11.32</v>
      </c>
      <c r="I423" s="3">
        <v>29050</v>
      </c>
      <c r="J423" s="3" t="s">
        <v>1</v>
      </c>
      <c r="K423" s="3" t="s">
        <v>1</v>
      </c>
      <c r="L423" s="3" t="s">
        <v>1</v>
      </c>
      <c r="M423" s="4">
        <v>-5657.5</v>
      </c>
      <c r="N423" s="5">
        <v>0</v>
      </c>
      <c r="O423" t="str">
        <f t="shared" si="73"/>
        <v>BANKNIFTY</v>
      </c>
      <c r="P423" t="str">
        <f>IF(SEARCH("NIFTY",O423),RIGHT(A423,7),0)</f>
        <v>42700CE</v>
      </c>
      <c r="Q423">
        <f t="shared" si="80"/>
        <v>-11.315</v>
      </c>
      <c r="S423">
        <v>22.077777777777779</v>
      </c>
    </row>
    <row r="424" spans="1:19" x14ac:dyDescent="0.3">
      <c r="A424" s="1" t="s">
        <v>423</v>
      </c>
      <c r="B424" s="2">
        <v>45064</v>
      </c>
      <c r="C424" s="3">
        <v>3300</v>
      </c>
      <c r="D424" s="3">
        <v>29.03</v>
      </c>
      <c r="E424" s="3">
        <v>95790</v>
      </c>
      <c r="F424" s="3">
        <v>3300</v>
      </c>
      <c r="G424" s="3">
        <v>28.95</v>
      </c>
      <c r="H424" s="3">
        <f t="shared" si="72"/>
        <v>-8.0000000000001847E-2</v>
      </c>
      <c r="I424" s="3">
        <v>95523.75</v>
      </c>
      <c r="J424" s="3" t="s">
        <v>1</v>
      </c>
      <c r="K424" s="3" t="s">
        <v>1</v>
      </c>
      <c r="L424" s="3" t="s">
        <v>1</v>
      </c>
      <c r="M424" s="4">
        <v>-266.25</v>
      </c>
      <c r="N424" s="5">
        <v>0</v>
      </c>
      <c r="O424" t="str">
        <f t="shared" si="73"/>
        <v>BANKNIFTY</v>
      </c>
      <c r="P424" t="str">
        <f>IF(SEARCH("NIFTY",O424),RIGHT(A424,7),0)</f>
        <v>44300CE</v>
      </c>
      <c r="Q424">
        <f t="shared" si="80"/>
        <v>-8.0681818181818188E-2</v>
      </c>
      <c r="S424">
        <v>22.494607843137256</v>
      </c>
    </row>
    <row r="425" spans="1:19" x14ac:dyDescent="0.3">
      <c r="A425" s="1" t="s">
        <v>424</v>
      </c>
      <c r="B425" s="2">
        <v>45113</v>
      </c>
      <c r="C425" s="3">
        <v>1700</v>
      </c>
      <c r="D425" s="3">
        <v>43.08</v>
      </c>
      <c r="E425" s="3">
        <v>73238.75</v>
      </c>
      <c r="F425" s="3">
        <v>1700</v>
      </c>
      <c r="G425" s="3">
        <v>41.17</v>
      </c>
      <c r="H425" s="3">
        <f t="shared" si="72"/>
        <v>-1.9099999999999966</v>
      </c>
      <c r="I425" s="3">
        <v>69982.5</v>
      </c>
      <c r="J425" s="3" t="s">
        <v>1</v>
      </c>
      <c r="K425" s="3" t="s">
        <v>1</v>
      </c>
      <c r="L425" s="3" t="s">
        <v>1</v>
      </c>
      <c r="M425" s="4">
        <v>-3256.25</v>
      </c>
      <c r="N425" s="5">
        <v>0</v>
      </c>
      <c r="O425" t="str">
        <f t="shared" si="73"/>
        <v>BANKNIFTY</v>
      </c>
      <c r="P425" t="str">
        <f>IF(SEARCH("NIFTY",O425),RIGHT(A425,7),0)</f>
        <v>44700PE</v>
      </c>
      <c r="Q425">
        <f t="shared" si="80"/>
        <v>-1.9154411764705883</v>
      </c>
      <c r="S425">
        <v>23.602</v>
      </c>
    </row>
    <row r="426" spans="1:19" hidden="1" x14ac:dyDescent="0.3">
      <c r="A426" s="1" t="s">
        <v>425</v>
      </c>
      <c r="B426" s="2">
        <v>45176</v>
      </c>
      <c r="C426" s="3">
        <v>200</v>
      </c>
      <c r="D426" s="3">
        <v>1.75</v>
      </c>
      <c r="E426" s="3">
        <v>350</v>
      </c>
      <c r="F426" s="3">
        <v>200</v>
      </c>
      <c r="G426" s="3">
        <v>1.2</v>
      </c>
      <c r="H426" s="3">
        <f t="shared" si="72"/>
        <v>-0.55000000000000004</v>
      </c>
      <c r="I426" s="3">
        <v>240</v>
      </c>
      <c r="J426" s="3" t="s">
        <v>1</v>
      </c>
      <c r="K426" s="3" t="s">
        <v>1</v>
      </c>
      <c r="L426" s="3" t="s">
        <v>1</v>
      </c>
      <c r="M426" s="4">
        <v>-110</v>
      </c>
      <c r="N426" s="5">
        <v>0</v>
      </c>
      <c r="O426" t="str">
        <f t="shared" si="73"/>
        <v>NIFTY</v>
      </c>
      <c r="P426" t="str">
        <f>IF(SEARCH("NIFTY",O426),RIGHT(A426,7),0)</f>
        <v>19700CE</v>
      </c>
      <c r="S426">
        <v>25.2</v>
      </c>
    </row>
    <row r="427" spans="1:19" hidden="1" x14ac:dyDescent="0.3">
      <c r="A427" s="1" t="s">
        <v>426</v>
      </c>
      <c r="B427" s="2">
        <v>45055</v>
      </c>
      <c r="C427" s="3">
        <v>1600</v>
      </c>
      <c r="D427" s="3">
        <v>10.25</v>
      </c>
      <c r="E427" s="3">
        <v>16400</v>
      </c>
      <c r="F427" s="3">
        <v>1600</v>
      </c>
      <c r="G427" s="3">
        <v>8.65</v>
      </c>
      <c r="H427" s="3">
        <f t="shared" si="72"/>
        <v>-1.5999999999999996</v>
      </c>
      <c r="I427" s="3">
        <v>13840</v>
      </c>
      <c r="J427" s="3" t="s">
        <v>1</v>
      </c>
      <c r="K427" s="3" t="s">
        <v>1</v>
      </c>
      <c r="L427" s="3" t="s">
        <v>1</v>
      </c>
      <c r="M427" s="4">
        <v>-2560</v>
      </c>
      <c r="N427" s="5">
        <v>0</v>
      </c>
      <c r="O427" t="str">
        <f t="shared" si="73"/>
        <v>FINNIFTY</v>
      </c>
      <c r="P427" t="str">
        <f>IF(SEARCH("NIFTY",O427),RIGHT(A427,7),0)</f>
        <v>19350PE</v>
      </c>
      <c r="S427">
        <v>26.9</v>
      </c>
    </row>
    <row r="428" spans="1:19" x14ac:dyDescent="0.3">
      <c r="A428" s="1" t="s">
        <v>427</v>
      </c>
      <c r="B428" s="2">
        <v>45071</v>
      </c>
      <c r="C428" s="3">
        <v>900</v>
      </c>
      <c r="D428" s="3">
        <v>18.78</v>
      </c>
      <c r="E428" s="3">
        <v>16900</v>
      </c>
      <c r="F428" s="3">
        <v>900</v>
      </c>
      <c r="G428" s="3">
        <v>20.45</v>
      </c>
      <c r="H428" s="3">
        <f t="shared" si="72"/>
        <v>1.6699999999999982</v>
      </c>
      <c r="I428" s="3">
        <v>18403.75</v>
      </c>
      <c r="J428" s="3" t="s">
        <v>1</v>
      </c>
      <c r="K428" s="3" t="s">
        <v>1</v>
      </c>
      <c r="L428" s="3" t="s">
        <v>1</v>
      </c>
      <c r="M428" s="5">
        <v>1503.75</v>
      </c>
      <c r="N428" s="5">
        <v>0</v>
      </c>
      <c r="O428" t="str">
        <f t="shared" si="73"/>
        <v>BANKNIFTY</v>
      </c>
      <c r="P428" t="str">
        <f>IF(SEARCH("NIFTY",O428),RIGHT(A428,7),0)</f>
        <v>44700CE</v>
      </c>
      <c r="Q428">
        <f t="shared" ref="Q428:Q429" si="81">M428/C428</f>
        <v>1.6708333333333334</v>
      </c>
      <c r="S428">
        <v>31.3</v>
      </c>
    </row>
    <row r="429" spans="1:19" x14ac:dyDescent="0.3">
      <c r="A429" s="1" t="s">
        <v>428</v>
      </c>
      <c r="B429" s="2">
        <v>45050</v>
      </c>
      <c r="C429" s="3">
        <v>7800</v>
      </c>
      <c r="D429" s="3">
        <v>33.049999999999997</v>
      </c>
      <c r="E429" s="3">
        <v>257786.25</v>
      </c>
      <c r="F429" s="3">
        <v>7800</v>
      </c>
      <c r="G429" s="3">
        <v>34.04</v>
      </c>
      <c r="H429" s="3">
        <f t="shared" si="72"/>
        <v>0.99000000000000199</v>
      </c>
      <c r="I429" s="3">
        <v>265532.5</v>
      </c>
      <c r="J429" s="3" t="s">
        <v>1</v>
      </c>
      <c r="K429" s="3" t="s">
        <v>1</v>
      </c>
      <c r="L429" s="3" t="s">
        <v>1</v>
      </c>
      <c r="M429" s="5">
        <v>7746.25</v>
      </c>
      <c r="N429" s="5">
        <v>0</v>
      </c>
      <c r="O429" t="str">
        <f t="shared" si="73"/>
        <v>BANKNIFTY</v>
      </c>
      <c r="P429" t="str">
        <f>IF(SEARCH("NIFTY",O429),RIGHT(A429,7),0)</f>
        <v>43800CE</v>
      </c>
      <c r="Q429">
        <f t="shared" si="81"/>
        <v>0.99310897435897438</v>
      </c>
      <c r="S429">
        <v>32.646428571428572</v>
      </c>
    </row>
    <row r="430" spans="1:19" hidden="1" x14ac:dyDescent="0.3">
      <c r="A430" s="1" t="s">
        <v>429</v>
      </c>
      <c r="B430" s="2">
        <v>45167</v>
      </c>
      <c r="C430" s="3">
        <v>3600</v>
      </c>
      <c r="D430" s="3">
        <v>12.17</v>
      </c>
      <c r="E430" s="3">
        <v>43794</v>
      </c>
      <c r="F430" s="3">
        <v>3600</v>
      </c>
      <c r="G430" s="3">
        <v>12.06</v>
      </c>
      <c r="H430" s="3">
        <f t="shared" si="72"/>
        <v>-0.10999999999999943</v>
      </c>
      <c r="I430" s="3">
        <v>43404</v>
      </c>
      <c r="J430" s="3" t="s">
        <v>1</v>
      </c>
      <c r="K430" s="3" t="s">
        <v>1</v>
      </c>
      <c r="L430" s="3" t="s">
        <v>1</v>
      </c>
      <c r="M430" s="4">
        <v>-390</v>
      </c>
      <c r="N430" s="5">
        <v>0</v>
      </c>
      <c r="O430" t="str">
        <f t="shared" si="73"/>
        <v>FINNIFTY</v>
      </c>
      <c r="P430" t="str">
        <f>IF(SEARCH("NIFTY",O430),RIGHT(A430,7),0)</f>
        <v>19750PE</v>
      </c>
      <c r="S430">
        <v>33.656944444444441</v>
      </c>
    </row>
    <row r="431" spans="1:19" x14ac:dyDescent="0.3">
      <c r="A431" s="1" t="s">
        <v>430</v>
      </c>
      <c r="B431" s="2">
        <v>45050</v>
      </c>
      <c r="C431" s="3">
        <v>4600</v>
      </c>
      <c r="D431" s="3">
        <v>42.48</v>
      </c>
      <c r="E431" s="3">
        <v>195426.25</v>
      </c>
      <c r="F431" s="3">
        <v>4600</v>
      </c>
      <c r="G431" s="3">
        <v>43.33</v>
      </c>
      <c r="H431" s="3">
        <f t="shared" si="72"/>
        <v>0.85000000000000142</v>
      </c>
      <c r="I431" s="3">
        <v>199305</v>
      </c>
      <c r="J431" s="3" t="s">
        <v>1</v>
      </c>
      <c r="K431" s="3" t="s">
        <v>1</v>
      </c>
      <c r="L431" s="3" t="s">
        <v>1</v>
      </c>
      <c r="M431" s="5">
        <v>3878.75</v>
      </c>
      <c r="N431" s="5">
        <v>0</v>
      </c>
      <c r="O431" t="str">
        <f t="shared" si="73"/>
        <v>BANKNIFTY</v>
      </c>
      <c r="P431" t="str">
        <f>IF(SEARCH("NIFTY",O431),RIGHT(A431,7),0)</f>
        <v>42700PE</v>
      </c>
      <c r="Q431">
        <f t="shared" ref="Q431:Q434" si="82">M431/C431</f>
        <v>0.84320652173913047</v>
      </c>
      <c r="S431">
        <v>38.196969696969695</v>
      </c>
    </row>
    <row r="432" spans="1:19" x14ac:dyDescent="0.3">
      <c r="A432" s="1" t="s">
        <v>431</v>
      </c>
      <c r="B432" s="2">
        <v>45162</v>
      </c>
      <c r="C432" s="3">
        <v>2160</v>
      </c>
      <c r="D432" s="3">
        <v>31.57</v>
      </c>
      <c r="E432" s="3">
        <v>68190.75</v>
      </c>
      <c r="F432" s="3">
        <v>2160</v>
      </c>
      <c r="G432" s="3">
        <v>37.549999999999997</v>
      </c>
      <c r="H432" s="3">
        <f t="shared" si="72"/>
        <v>5.9799999999999969</v>
      </c>
      <c r="I432" s="3">
        <v>81107.25</v>
      </c>
      <c r="J432" s="3" t="s">
        <v>1</v>
      </c>
      <c r="K432" s="3" t="s">
        <v>1</v>
      </c>
      <c r="L432" s="3" t="s">
        <v>1</v>
      </c>
      <c r="M432" s="5">
        <v>12916.5</v>
      </c>
      <c r="N432" s="5">
        <v>0</v>
      </c>
      <c r="O432" t="str">
        <f t="shared" si="73"/>
        <v>BANKNIFTY</v>
      </c>
      <c r="P432" t="str">
        <f>IF(SEARCH("NIFTY",O432),RIGHT(A432,7),0)</f>
        <v>43000PE</v>
      </c>
      <c r="Q432">
        <f t="shared" si="82"/>
        <v>5.9798611111111111</v>
      </c>
      <c r="S432">
        <v>40.948809523809523</v>
      </c>
    </row>
    <row r="433" spans="1:19" x14ac:dyDescent="0.3">
      <c r="A433" s="1" t="s">
        <v>432</v>
      </c>
      <c r="B433" s="2">
        <v>45099</v>
      </c>
      <c r="C433" s="3">
        <v>500</v>
      </c>
      <c r="D433" s="3">
        <v>6.6</v>
      </c>
      <c r="E433" s="3">
        <v>3300</v>
      </c>
      <c r="F433" s="3">
        <v>500</v>
      </c>
      <c r="G433" s="3">
        <v>4.3499999999999996</v>
      </c>
      <c r="H433" s="3">
        <f t="shared" si="72"/>
        <v>-2.25</v>
      </c>
      <c r="I433" s="3">
        <v>2175</v>
      </c>
      <c r="J433" s="3" t="s">
        <v>1</v>
      </c>
      <c r="K433" s="3" t="s">
        <v>1</v>
      </c>
      <c r="L433" s="3" t="s">
        <v>1</v>
      </c>
      <c r="M433" s="4">
        <v>-1125</v>
      </c>
      <c r="N433" s="5">
        <v>0</v>
      </c>
      <c r="O433" t="str">
        <f t="shared" si="73"/>
        <v>BANKNIFTY</v>
      </c>
      <c r="P433" t="str">
        <f>IF(SEARCH("NIFTY",O433),RIGHT(A433,7),0)</f>
        <v>45100CE</v>
      </c>
      <c r="Q433">
        <f t="shared" si="82"/>
        <v>-2.25</v>
      </c>
      <c r="S433">
        <v>42.886666666666663</v>
      </c>
    </row>
    <row r="434" spans="1:19" x14ac:dyDescent="0.3">
      <c r="A434" s="1" t="s">
        <v>433</v>
      </c>
      <c r="B434" s="2">
        <v>45099</v>
      </c>
      <c r="C434" s="3">
        <v>1400</v>
      </c>
      <c r="D434" s="3">
        <v>19.45</v>
      </c>
      <c r="E434" s="3">
        <v>27230</v>
      </c>
      <c r="F434" s="3">
        <v>1400</v>
      </c>
      <c r="G434" s="3">
        <v>23.37</v>
      </c>
      <c r="H434" s="3">
        <f t="shared" si="72"/>
        <v>3.9200000000000017</v>
      </c>
      <c r="I434" s="3">
        <v>32711.25</v>
      </c>
      <c r="J434" s="3" t="s">
        <v>1</v>
      </c>
      <c r="K434" s="3" t="s">
        <v>1</v>
      </c>
      <c r="L434" s="3" t="s">
        <v>1</v>
      </c>
      <c r="M434" s="5">
        <v>5481.25</v>
      </c>
      <c r="N434" s="5">
        <v>0</v>
      </c>
      <c r="O434" t="str">
        <f t="shared" si="73"/>
        <v>BANKNIFTY</v>
      </c>
      <c r="P434" t="str">
        <f>IF(SEARCH("NIFTY",O434),RIGHT(A434,7),0)</f>
        <v>44400CE</v>
      </c>
      <c r="Q434">
        <f t="shared" si="82"/>
        <v>3.9151785714285716</v>
      </c>
      <c r="S434">
        <v>46.821666666666665</v>
      </c>
    </row>
    <row r="435" spans="1:19" hidden="1" x14ac:dyDescent="0.3">
      <c r="A435" s="1" t="s">
        <v>434</v>
      </c>
      <c r="B435" s="2">
        <v>45152</v>
      </c>
      <c r="C435" s="3">
        <v>400</v>
      </c>
      <c r="D435" s="3">
        <v>39.200000000000003</v>
      </c>
      <c r="E435" s="3">
        <v>15680</v>
      </c>
      <c r="F435" s="3">
        <v>400</v>
      </c>
      <c r="G435" s="3">
        <v>33.06</v>
      </c>
      <c r="H435" s="3">
        <f t="shared" si="72"/>
        <v>-6.1400000000000006</v>
      </c>
      <c r="I435" s="3">
        <v>13224</v>
      </c>
      <c r="J435" s="3" t="s">
        <v>1</v>
      </c>
      <c r="K435" s="3" t="s">
        <v>1</v>
      </c>
      <c r="L435" s="3" t="s">
        <v>1</v>
      </c>
      <c r="M435" s="4">
        <v>-2456</v>
      </c>
      <c r="N435" s="5">
        <v>0</v>
      </c>
      <c r="O435" t="str">
        <f t="shared" si="73"/>
        <v>FINNIFTY</v>
      </c>
      <c r="P435" t="str">
        <f>IF(SEARCH("NIFTY",O435),RIGHT(A435,7),0)</f>
        <v>19600CE</v>
      </c>
      <c r="S435">
        <v>51.182499999999997</v>
      </c>
    </row>
    <row r="436" spans="1:19" x14ac:dyDescent="0.3">
      <c r="A436" s="1" t="s">
        <v>435</v>
      </c>
      <c r="B436" s="2">
        <v>45085</v>
      </c>
      <c r="C436" s="3">
        <v>600</v>
      </c>
      <c r="D436" s="3">
        <v>26.1</v>
      </c>
      <c r="E436" s="3">
        <v>15660</v>
      </c>
      <c r="F436" s="3">
        <v>600</v>
      </c>
      <c r="G436" s="3">
        <v>29.5</v>
      </c>
      <c r="H436" s="3">
        <f t="shared" si="72"/>
        <v>3.3999999999999986</v>
      </c>
      <c r="I436" s="3">
        <v>17700</v>
      </c>
      <c r="J436" s="3" t="s">
        <v>1</v>
      </c>
      <c r="K436" s="3" t="s">
        <v>1</v>
      </c>
      <c r="L436" s="3" t="s">
        <v>1</v>
      </c>
      <c r="M436" s="5">
        <v>2040</v>
      </c>
      <c r="N436" s="5">
        <v>0</v>
      </c>
      <c r="O436" t="str">
        <f t="shared" si="73"/>
        <v>BANKNIFTY</v>
      </c>
      <c r="P436" t="str">
        <f>IF(SEARCH("NIFTY",O436),RIGHT(A436,7),0)</f>
        <v>42700PE</v>
      </c>
      <c r="Q436">
        <f t="shared" ref="Q436:Q437" si="83">M436/C436</f>
        <v>3.4</v>
      </c>
      <c r="S436">
        <v>57.851666666666667</v>
      </c>
    </row>
    <row r="437" spans="1:19" x14ac:dyDescent="0.3">
      <c r="A437" s="1" t="s">
        <v>436</v>
      </c>
      <c r="B437" s="2">
        <v>45162</v>
      </c>
      <c r="C437" s="3">
        <v>900</v>
      </c>
      <c r="D437" s="3">
        <v>6.45</v>
      </c>
      <c r="E437" s="3">
        <v>5805</v>
      </c>
      <c r="F437" s="3">
        <v>900</v>
      </c>
      <c r="G437" s="3">
        <v>18.11</v>
      </c>
      <c r="H437" s="3">
        <f t="shared" si="72"/>
        <v>11.66</v>
      </c>
      <c r="I437" s="3">
        <v>16294.5</v>
      </c>
      <c r="J437" s="3" t="s">
        <v>1</v>
      </c>
      <c r="K437" s="3" t="s">
        <v>1</v>
      </c>
      <c r="L437" s="3" t="s">
        <v>1</v>
      </c>
      <c r="M437" s="5">
        <v>10489.5</v>
      </c>
      <c r="N437" s="5">
        <v>0</v>
      </c>
      <c r="O437" t="str">
        <f t="shared" si="73"/>
        <v>BANKNIFTY</v>
      </c>
      <c r="P437" t="str">
        <f>IF(SEARCH("NIFTY",O437),RIGHT(A437,7),0)</f>
        <v>44600CE</v>
      </c>
      <c r="Q437">
        <f t="shared" si="83"/>
        <v>11.654999999999999</v>
      </c>
      <c r="S437">
        <v>63.734999999999999</v>
      </c>
    </row>
    <row r="438" spans="1:19" hidden="1" x14ac:dyDescent="0.3">
      <c r="A438" s="1" t="s">
        <v>437</v>
      </c>
      <c r="B438" s="2">
        <v>45099</v>
      </c>
      <c r="C438" s="3">
        <v>2000</v>
      </c>
      <c r="D438" s="3">
        <v>75</v>
      </c>
      <c r="E438" s="3">
        <v>150000</v>
      </c>
      <c r="F438" s="3">
        <v>2000</v>
      </c>
      <c r="G438" s="3">
        <v>58.69</v>
      </c>
      <c r="H438" s="3">
        <f t="shared" si="72"/>
        <v>-16.310000000000002</v>
      </c>
      <c r="I438" s="3">
        <v>117375</v>
      </c>
      <c r="J438" s="3" t="s">
        <v>1</v>
      </c>
      <c r="K438" s="3" t="s">
        <v>1</v>
      </c>
      <c r="L438" s="3" t="s">
        <v>1</v>
      </c>
      <c r="M438" s="4">
        <v>-32625</v>
      </c>
      <c r="N438" s="5">
        <v>0</v>
      </c>
      <c r="O438" t="str">
        <f t="shared" si="73"/>
        <v>NIFTY</v>
      </c>
      <c r="P438" t="str">
        <f>IF(SEARCH("NIFTY",O438),RIGHT(A438,7),0)</f>
        <v>18850PE</v>
      </c>
      <c r="S438">
        <v>67.45</v>
      </c>
    </row>
    <row r="439" spans="1:19" hidden="1" x14ac:dyDescent="0.3">
      <c r="A439" s="1" t="s">
        <v>438</v>
      </c>
      <c r="B439" s="2">
        <v>45043</v>
      </c>
      <c r="C439" s="3">
        <v>5600</v>
      </c>
      <c r="D439" s="3">
        <v>8.1999999999999993</v>
      </c>
      <c r="E439" s="3">
        <v>45920</v>
      </c>
      <c r="F439" s="3">
        <v>5600</v>
      </c>
      <c r="G439" s="3">
        <v>9.6</v>
      </c>
      <c r="H439" s="3">
        <f t="shared" si="72"/>
        <v>1.4000000000000004</v>
      </c>
      <c r="I439" s="3">
        <v>53777.5</v>
      </c>
      <c r="J439" s="3" t="s">
        <v>1</v>
      </c>
      <c r="K439" s="3" t="s">
        <v>1</v>
      </c>
      <c r="L439" s="3" t="s">
        <v>1</v>
      </c>
      <c r="M439" s="5">
        <v>7857.5</v>
      </c>
      <c r="N439" s="5">
        <v>0</v>
      </c>
      <c r="O439" t="str">
        <f t="shared" si="73"/>
        <v>NIFTY</v>
      </c>
      <c r="P439" t="str">
        <f>IF(SEARCH("NIFTY",O439),RIGHT(A439,7),0)</f>
        <v>17800PE</v>
      </c>
      <c r="S439">
        <v>235.95333333333335</v>
      </c>
    </row>
    <row r="440" spans="1:19" x14ac:dyDescent="0.3">
      <c r="A440" s="1" t="s">
        <v>439</v>
      </c>
      <c r="B440" s="2">
        <v>45071</v>
      </c>
      <c r="C440" s="3">
        <v>600</v>
      </c>
      <c r="D440" s="3">
        <v>8.85</v>
      </c>
      <c r="E440" s="3">
        <v>5310</v>
      </c>
      <c r="F440" s="3">
        <v>600</v>
      </c>
      <c r="G440" s="3">
        <v>17.850000000000001</v>
      </c>
      <c r="H440" s="3">
        <f t="shared" si="72"/>
        <v>9.0000000000000018</v>
      </c>
      <c r="I440" s="3">
        <v>10710</v>
      </c>
      <c r="J440" s="3" t="s">
        <v>1</v>
      </c>
      <c r="K440" s="3" t="s">
        <v>1</v>
      </c>
      <c r="L440" s="3" t="s">
        <v>1</v>
      </c>
      <c r="M440" s="5">
        <v>5400</v>
      </c>
      <c r="N440" s="5">
        <v>0</v>
      </c>
      <c r="O440" t="str">
        <f t="shared" si="73"/>
        <v>BANKNIFTY</v>
      </c>
      <c r="P440" t="str">
        <f>IF(SEARCH("NIFTY",O440),RIGHT(A440,7),0)</f>
        <v>44100CE</v>
      </c>
      <c r="Q440">
        <f t="shared" ref="Q440:Q441" si="84">M440/C440</f>
        <v>9</v>
      </c>
      <c r="S440">
        <v>0</v>
      </c>
    </row>
    <row r="441" spans="1:19" x14ac:dyDescent="0.3">
      <c r="A441" s="1" t="s">
        <v>440</v>
      </c>
      <c r="B441" s="2">
        <v>45099</v>
      </c>
      <c r="C441" s="3">
        <v>1700</v>
      </c>
      <c r="D441" s="3">
        <v>31.14</v>
      </c>
      <c r="E441" s="3">
        <v>52932.5</v>
      </c>
      <c r="F441" s="3">
        <v>1700</v>
      </c>
      <c r="G441" s="3">
        <v>32</v>
      </c>
      <c r="H441" s="3">
        <f t="shared" si="72"/>
        <v>0.85999999999999943</v>
      </c>
      <c r="I441" s="3">
        <v>54398.75</v>
      </c>
      <c r="J441" s="3" t="s">
        <v>1</v>
      </c>
      <c r="K441" s="3" t="s">
        <v>1</v>
      </c>
      <c r="L441" s="3" t="s">
        <v>1</v>
      </c>
      <c r="M441" s="5">
        <v>1466.25</v>
      </c>
      <c r="N441" s="5">
        <v>0</v>
      </c>
      <c r="O441" t="str">
        <f t="shared" si="73"/>
        <v>BANKNIFTY</v>
      </c>
      <c r="P441" t="str">
        <f>IF(SEARCH("NIFTY",O441),RIGHT(A441,7),0)</f>
        <v>44600CE</v>
      </c>
      <c r="Q441">
        <f t="shared" si="84"/>
        <v>0.86250000000000004</v>
      </c>
      <c r="S441">
        <v>0</v>
      </c>
    </row>
    <row r="442" spans="1:19" hidden="1" x14ac:dyDescent="0.3">
      <c r="A442" s="1" t="s">
        <v>441</v>
      </c>
      <c r="B442" s="2">
        <v>45097</v>
      </c>
      <c r="C442" s="3">
        <v>1200</v>
      </c>
      <c r="D442" s="3">
        <v>14.9</v>
      </c>
      <c r="E442" s="3">
        <v>17880</v>
      </c>
      <c r="F442" s="3">
        <v>1200</v>
      </c>
      <c r="G442" s="3">
        <v>14.44</v>
      </c>
      <c r="H442" s="3">
        <f t="shared" si="72"/>
        <v>-0.46000000000000085</v>
      </c>
      <c r="I442" s="3">
        <v>17324</v>
      </c>
      <c r="J442" s="3" t="s">
        <v>1</v>
      </c>
      <c r="K442" s="3" t="s">
        <v>1</v>
      </c>
      <c r="L442" s="3" t="s">
        <v>1</v>
      </c>
      <c r="M442" s="4">
        <v>-556</v>
      </c>
      <c r="N442" s="5">
        <v>0</v>
      </c>
      <c r="O442" t="str">
        <f t="shared" si="73"/>
        <v>FINNIFTY</v>
      </c>
      <c r="P442" t="str">
        <f>IF(SEARCH("NIFTY",O442),RIGHT(A442,7),0)</f>
        <v>19600CE</v>
      </c>
      <c r="S442">
        <v>0</v>
      </c>
    </row>
    <row r="443" spans="1:19" hidden="1" x14ac:dyDescent="0.3">
      <c r="A443" s="1" t="s">
        <v>442</v>
      </c>
      <c r="B443" s="2">
        <v>45055</v>
      </c>
      <c r="C443" s="3">
        <v>1600</v>
      </c>
      <c r="D443" s="3">
        <v>1.6</v>
      </c>
      <c r="E443" s="3">
        <v>2560</v>
      </c>
      <c r="F443" s="3">
        <v>1600</v>
      </c>
      <c r="G443" s="3">
        <v>0.85</v>
      </c>
      <c r="H443" s="3">
        <f t="shared" si="72"/>
        <v>-0.75000000000000011</v>
      </c>
      <c r="I443" s="3">
        <v>1360</v>
      </c>
      <c r="J443" s="3" t="s">
        <v>1</v>
      </c>
      <c r="K443" s="3" t="s">
        <v>1</v>
      </c>
      <c r="L443" s="3" t="s">
        <v>1</v>
      </c>
      <c r="M443" s="4">
        <v>-1200</v>
      </c>
      <c r="N443" s="5">
        <v>0</v>
      </c>
      <c r="O443" t="str">
        <f t="shared" si="73"/>
        <v>FINNIFTY</v>
      </c>
      <c r="P443" t="str">
        <f>IF(SEARCH("NIFTY",O443),RIGHT(A443,7),0)</f>
        <v>19550CE</v>
      </c>
      <c r="S443">
        <v>0</v>
      </c>
    </row>
    <row r="444" spans="1:19" hidden="1" x14ac:dyDescent="0.3">
      <c r="A444" s="1" t="s">
        <v>443</v>
      </c>
      <c r="B444" s="2">
        <v>45167</v>
      </c>
      <c r="C444" s="3">
        <v>1800</v>
      </c>
      <c r="D444" s="3">
        <v>2.35</v>
      </c>
      <c r="E444" s="3">
        <v>4230</v>
      </c>
      <c r="F444" s="3">
        <v>1800</v>
      </c>
      <c r="G444" s="3">
        <v>2.9</v>
      </c>
      <c r="H444" s="3">
        <f t="shared" si="72"/>
        <v>0.54999999999999982</v>
      </c>
      <c r="I444" s="3">
        <v>5220</v>
      </c>
      <c r="J444" s="3" t="s">
        <v>1</v>
      </c>
      <c r="K444" s="3" t="s">
        <v>1</v>
      </c>
      <c r="L444" s="3" t="s">
        <v>1</v>
      </c>
      <c r="M444" s="5">
        <v>990</v>
      </c>
      <c r="N444" s="5">
        <v>0</v>
      </c>
      <c r="O444" t="str">
        <f t="shared" si="73"/>
        <v>FINNIFTY</v>
      </c>
      <c r="P444" t="str">
        <f>IF(SEARCH("NIFTY",O444),RIGHT(A444,7),0)</f>
        <v>19650PE</v>
      </c>
      <c r="S444">
        <v>0</v>
      </c>
    </row>
    <row r="445" spans="1:19" x14ac:dyDescent="0.3">
      <c r="A445" s="1" t="s">
        <v>444</v>
      </c>
      <c r="B445" s="2">
        <v>45057</v>
      </c>
      <c r="C445" s="3">
        <v>1600</v>
      </c>
      <c r="D445" s="3">
        <v>30.96</v>
      </c>
      <c r="E445" s="3">
        <v>49542.5</v>
      </c>
      <c r="F445" s="3">
        <v>1600</v>
      </c>
      <c r="G445" s="3">
        <v>30.1</v>
      </c>
      <c r="H445" s="3">
        <f t="shared" si="72"/>
        <v>-0.85999999999999943</v>
      </c>
      <c r="I445" s="3">
        <v>48153.75</v>
      </c>
      <c r="J445" s="3" t="s">
        <v>1</v>
      </c>
      <c r="K445" s="3" t="s">
        <v>1</v>
      </c>
      <c r="L445" s="3" t="s">
        <v>1</v>
      </c>
      <c r="M445" s="4">
        <v>-1388.75</v>
      </c>
      <c r="N445" s="5">
        <v>0</v>
      </c>
      <c r="O445" t="str">
        <f t="shared" si="73"/>
        <v>BANKNIFTY</v>
      </c>
      <c r="P445" t="str">
        <f>IF(SEARCH("NIFTY",O445),RIGHT(A445,7),0)</f>
        <v>43000PE</v>
      </c>
      <c r="Q445">
        <f>M445/C445</f>
        <v>-0.86796874999999996</v>
      </c>
      <c r="S445">
        <v>0</v>
      </c>
    </row>
    <row r="446" spans="1:19" hidden="1" x14ac:dyDescent="0.3">
      <c r="A446" s="1" t="s">
        <v>445</v>
      </c>
      <c r="B446" s="2">
        <v>45034</v>
      </c>
      <c r="C446" s="3">
        <v>4000</v>
      </c>
      <c r="D446" s="3">
        <v>0.47</v>
      </c>
      <c r="E446" s="3">
        <v>1870</v>
      </c>
      <c r="F446" s="3">
        <v>4000</v>
      </c>
      <c r="G446" s="3">
        <v>0.43</v>
      </c>
      <c r="H446" s="3">
        <f t="shared" si="72"/>
        <v>-3.999999999999998E-2</v>
      </c>
      <c r="I446" s="3">
        <v>1700</v>
      </c>
      <c r="J446" s="3" t="s">
        <v>1</v>
      </c>
      <c r="K446" s="3" t="s">
        <v>1</v>
      </c>
      <c r="L446" s="3" t="s">
        <v>1</v>
      </c>
      <c r="M446" s="4">
        <v>-170</v>
      </c>
      <c r="N446" s="5">
        <v>0</v>
      </c>
      <c r="O446" t="str">
        <f t="shared" si="73"/>
        <v>FINNIFTY</v>
      </c>
      <c r="P446" t="str">
        <f>IF(SEARCH("NIFTY",O446),RIGHT(A446,7),0)</f>
        <v>19300CE</v>
      </c>
      <c r="S446">
        <v>0</v>
      </c>
    </row>
    <row r="447" spans="1:19" x14ac:dyDescent="0.3">
      <c r="A447" s="1" t="s">
        <v>446</v>
      </c>
      <c r="B447" s="2">
        <v>45057</v>
      </c>
      <c r="C447" s="3">
        <v>3800</v>
      </c>
      <c r="D447" s="3">
        <v>29.59</v>
      </c>
      <c r="E447" s="3">
        <v>112460</v>
      </c>
      <c r="F447" s="3">
        <v>3800</v>
      </c>
      <c r="G447" s="3">
        <v>29.44</v>
      </c>
      <c r="H447" s="3">
        <f t="shared" si="72"/>
        <v>-0.14999999999999858</v>
      </c>
      <c r="I447" s="3">
        <v>111865</v>
      </c>
      <c r="J447" s="3" t="s">
        <v>1</v>
      </c>
      <c r="K447" s="3" t="s">
        <v>1</v>
      </c>
      <c r="L447" s="3" t="s">
        <v>1</v>
      </c>
      <c r="M447" s="4">
        <v>-595</v>
      </c>
      <c r="N447" s="5">
        <v>0</v>
      </c>
      <c r="O447" t="str">
        <f t="shared" si="73"/>
        <v>BANKNIFTY</v>
      </c>
      <c r="P447" t="str">
        <f>IF(SEARCH("NIFTY",O447),RIGHT(A447,7),0)</f>
        <v>42200PE</v>
      </c>
      <c r="Q447">
        <f t="shared" ref="Q447:Q453" si="85">M447/C447</f>
        <v>-0.15657894736842104</v>
      </c>
      <c r="S447">
        <v>0</v>
      </c>
    </row>
    <row r="448" spans="1:19" x14ac:dyDescent="0.3">
      <c r="A448" s="1" t="s">
        <v>447</v>
      </c>
      <c r="B448" s="2">
        <v>45127</v>
      </c>
      <c r="C448" s="3">
        <v>1000</v>
      </c>
      <c r="D448" s="3">
        <v>29.73</v>
      </c>
      <c r="E448" s="3">
        <v>29725</v>
      </c>
      <c r="F448" s="3">
        <v>1000</v>
      </c>
      <c r="G448" s="3">
        <v>30.83</v>
      </c>
      <c r="H448" s="3">
        <f t="shared" si="72"/>
        <v>1.0999999999999979</v>
      </c>
      <c r="I448" s="3">
        <v>30827.5</v>
      </c>
      <c r="J448" s="3" t="s">
        <v>1</v>
      </c>
      <c r="K448" s="3" t="s">
        <v>1</v>
      </c>
      <c r="L448" s="3" t="s">
        <v>1</v>
      </c>
      <c r="M448" s="5">
        <v>1102.5</v>
      </c>
      <c r="N448" s="5">
        <v>0</v>
      </c>
      <c r="O448" t="str">
        <f t="shared" si="73"/>
        <v>BANKNIFTY</v>
      </c>
      <c r="P448" t="str">
        <f>IF(SEARCH("NIFTY",O448),RIGHT(A448,7),0)</f>
        <v>45100PE</v>
      </c>
      <c r="Q448">
        <f t="shared" si="85"/>
        <v>1.1025</v>
      </c>
      <c r="S448">
        <v>0</v>
      </c>
    </row>
    <row r="449" spans="1:19" x14ac:dyDescent="0.3">
      <c r="A449" s="1" t="s">
        <v>448</v>
      </c>
      <c r="B449" s="2">
        <v>45113</v>
      </c>
      <c r="C449" s="3">
        <v>1600</v>
      </c>
      <c r="D449" s="3">
        <v>140.55000000000001</v>
      </c>
      <c r="E449" s="3">
        <v>224885</v>
      </c>
      <c r="F449" s="3">
        <v>1600</v>
      </c>
      <c r="G449" s="3">
        <v>152.56</v>
      </c>
      <c r="H449" s="3">
        <f t="shared" si="72"/>
        <v>12.009999999999991</v>
      </c>
      <c r="I449" s="3">
        <v>244100</v>
      </c>
      <c r="J449" s="3" t="s">
        <v>1</v>
      </c>
      <c r="K449" s="3" t="s">
        <v>1</v>
      </c>
      <c r="L449" s="3" t="s">
        <v>1</v>
      </c>
      <c r="M449" s="5">
        <v>19215</v>
      </c>
      <c r="N449" s="5">
        <v>0</v>
      </c>
      <c r="O449" t="str">
        <f t="shared" si="73"/>
        <v>BANKNIFTY</v>
      </c>
      <c r="P449" t="str">
        <f>IF(SEARCH("NIFTY",O449),RIGHT(A449,7),0)</f>
        <v>44500PE</v>
      </c>
      <c r="Q449">
        <f t="shared" si="85"/>
        <v>12.009375</v>
      </c>
      <c r="S449">
        <v>0</v>
      </c>
    </row>
    <row r="450" spans="1:19" x14ac:dyDescent="0.3">
      <c r="A450" s="1" t="s">
        <v>449</v>
      </c>
      <c r="B450" s="2">
        <v>45169</v>
      </c>
      <c r="C450" s="3">
        <v>2070</v>
      </c>
      <c r="D450" s="3">
        <v>81.56</v>
      </c>
      <c r="E450" s="3">
        <v>168839.25</v>
      </c>
      <c r="F450" s="3">
        <v>2070</v>
      </c>
      <c r="G450" s="3">
        <v>68.53</v>
      </c>
      <c r="H450" s="3">
        <f t="shared" si="72"/>
        <v>-13.030000000000001</v>
      </c>
      <c r="I450" s="3">
        <v>141860.25</v>
      </c>
      <c r="J450" s="3" t="s">
        <v>1</v>
      </c>
      <c r="K450" s="3" t="s">
        <v>1</v>
      </c>
      <c r="L450" s="3" t="s">
        <v>1</v>
      </c>
      <c r="M450" s="4">
        <v>-26979</v>
      </c>
      <c r="N450" s="5">
        <v>0</v>
      </c>
      <c r="O450" t="str">
        <f t="shared" si="73"/>
        <v>BANKNIFTY</v>
      </c>
      <c r="P450" t="str">
        <f>IF(SEARCH("NIFTY",O450),RIGHT(A450,7),0)</f>
        <v>44600CE</v>
      </c>
      <c r="Q450">
        <f t="shared" si="85"/>
        <v>-13.033333333333333</v>
      </c>
      <c r="S450">
        <v>0</v>
      </c>
    </row>
    <row r="451" spans="1:19" x14ac:dyDescent="0.3">
      <c r="A451" s="1" t="s">
        <v>450</v>
      </c>
      <c r="B451" s="2">
        <v>45085</v>
      </c>
      <c r="C451" s="3">
        <v>400</v>
      </c>
      <c r="D451" s="3">
        <v>3.65</v>
      </c>
      <c r="E451" s="3">
        <v>1460</v>
      </c>
      <c r="F451" s="3">
        <v>400</v>
      </c>
      <c r="G451" s="3">
        <v>3.31</v>
      </c>
      <c r="H451" s="3">
        <f t="shared" ref="H451:H514" si="86">G451-D451</f>
        <v>-0.33999999999999986</v>
      </c>
      <c r="I451" s="3">
        <v>1322.5</v>
      </c>
      <c r="J451" s="3" t="s">
        <v>1</v>
      </c>
      <c r="K451" s="3" t="s">
        <v>1</v>
      </c>
      <c r="L451" s="3" t="s">
        <v>1</v>
      </c>
      <c r="M451" s="4">
        <v>-137.5</v>
      </c>
      <c r="N451" s="5">
        <v>0</v>
      </c>
      <c r="O451" t="str">
        <f t="shared" ref="O451:O514" si="87">LEFT(A451, FIND("NIFTY", A451) +4)</f>
        <v>BANKNIFTY</v>
      </c>
      <c r="P451" t="str">
        <f>IF(SEARCH("NIFTY",O451),RIGHT(A451,7),0)</f>
        <v>45500CE</v>
      </c>
      <c r="Q451">
        <f t="shared" si="85"/>
        <v>-0.34375</v>
      </c>
      <c r="S451">
        <v>0</v>
      </c>
    </row>
    <row r="452" spans="1:19" x14ac:dyDescent="0.3">
      <c r="A452" s="1" t="s">
        <v>451</v>
      </c>
      <c r="B452" s="2">
        <v>45057</v>
      </c>
      <c r="C452" s="3">
        <v>2150</v>
      </c>
      <c r="D452" s="3">
        <v>75.010000000000005</v>
      </c>
      <c r="E452" s="3">
        <v>161281.25</v>
      </c>
      <c r="F452" s="3">
        <v>2150</v>
      </c>
      <c r="G452" s="3">
        <v>51.94</v>
      </c>
      <c r="H452" s="3">
        <f t="shared" si="86"/>
        <v>-23.070000000000007</v>
      </c>
      <c r="I452" s="3">
        <v>111670</v>
      </c>
      <c r="J452" s="3" t="s">
        <v>1</v>
      </c>
      <c r="K452" s="3" t="s">
        <v>1</v>
      </c>
      <c r="L452" s="3" t="s">
        <v>1</v>
      </c>
      <c r="M452" s="4">
        <v>-49611.25</v>
      </c>
      <c r="N452" s="5">
        <v>0</v>
      </c>
      <c r="O452" t="str">
        <f t="shared" si="87"/>
        <v>BANKNIFTY</v>
      </c>
      <c r="P452" t="str">
        <f>IF(SEARCH("NIFTY",O452),RIGHT(A452,7),0)</f>
        <v>42800PE</v>
      </c>
      <c r="Q452">
        <f t="shared" si="85"/>
        <v>-23.074999999999999</v>
      </c>
      <c r="S452">
        <v>0</v>
      </c>
    </row>
    <row r="453" spans="1:19" x14ac:dyDescent="0.3">
      <c r="A453" s="1" t="s">
        <v>452</v>
      </c>
      <c r="B453" s="2">
        <v>45071</v>
      </c>
      <c r="C453" s="3">
        <v>600</v>
      </c>
      <c r="D453" s="3">
        <v>10.65</v>
      </c>
      <c r="E453" s="3">
        <v>6390</v>
      </c>
      <c r="F453" s="3">
        <v>600</v>
      </c>
      <c r="G453" s="3">
        <v>12.3</v>
      </c>
      <c r="H453" s="3">
        <f t="shared" si="86"/>
        <v>1.6500000000000004</v>
      </c>
      <c r="I453" s="3">
        <v>7380</v>
      </c>
      <c r="J453" s="3" t="s">
        <v>1</v>
      </c>
      <c r="K453" s="3" t="s">
        <v>1</v>
      </c>
      <c r="L453" s="3" t="s">
        <v>1</v>
      </c>
      <c r="M453" s="5">
        <v>990</v>
      </c>
      <c r="N453" s="5">
        <v>0</v>
      </c>
      <c r="O453" t="str">
        <f t="shared" si="87"/>
        <v>BANKNIFTY</v>
      </c>
      <c r="P453" t="str">
        <f>IF(SEARCH("NIFTY",O453),RIGHT(A453,7),0)</f>
        <v>44000CE</v>
      </c>
      <c r="Q453">
        <f t="shared" si="85"/>
        <v>1.65</v>
      </c>
      <c r="S453">
        <v>0</v>
      </c>
    </row>
    <row r="454" spans="1:19" hidden="1" x14ac:dyDescent="0.3">
      <c r="A454" s="1" t="s">
        <v>453</v>
      </c>
      <c r="B454" s="2">
        <v>45097</v>
      </c>
      <c r="C454" s="3">
        <v>1200</v>
      </c>
      <c r="D454" s="3">
        <v>7.45</v>
      </c>
      <c r="E454" s="3">
        <v>8940</v>
      </c>
      <c r="F454" s="3">
        <v>1200</v>
      </c>
      <c r="G454" s="3">
        <v>5.09</v>
      </c>
      <c r="H454" s="3">
        <f t="shared" si="86"/>
        <v>-2.3600000000000003</v>
      </c>
      <c r="I454" s="3">
        <v>6104</v>
      </c>
      <c r="J454" s="3" t="s">
        <v>1</v>
      </c>
      <c r="K454" s="3" t="s">
        <v>1</v>
      </c>
      <c r="L454" s="3" t="s">
        <v>1</v>
      </c>
      <c r="M454" s="4">
        <v>-2836</v>
      </c>
      <c r="N454" s="5">
        <v>0</v>
      </c>
      <c r="O454" t="str">
        <f t="shared" si="87"/>
        <v>FINNIFTY</v>
      </c>
      <c r="P454" t="str">
        <f>IF(SEARCH("NIFTY",O454),RIGHT(A454,7),0)</f>
        <v>19700CE</v>
      </c>
      <c r="S454">
        <v>0</v>
      </c>
    </row>
    <row r="455" spans="1:19" x14ac:dyDescent="0.3">
      <c r="A455" s="1" t="s">
        <v>454</v>
      </c>
      <c r="B455" s="2">
        <v>45043</v>
      </c>
      <c r="C455" s="3">
        <v>4350</v>
      </c>
      <c r="D455" s="3">
        <v>2.1800000000000002</v>
      </c>
      <c r="E455" s="3">
        <v>9492.5</v>
      </c>
      <c r="F455" s="3">
        <v>4350</v>
      </c>
      <c r="G455" s="3">
        <v>1.98</v>
      </c>
      <c r="H455" s="3">
        <f t="shared" si="86"/>
        <v>-0.20000000000000018</v>
      </c>
      <c r="I455" s="3">
        <v>8610</v>
      </c>
      <c r="J455" s="3" t="s">
        <v>1</v>
      </c>
      <c r="K455" s="3" t="s">
        <v>1</v>
      </c>
      <c r="L455" s="3" t="s">
        <v>1</v>
      </c>
      <c r="M455" s="4">
        <v>-882.5</v>
      </c>
      <c r="N455" s="5">
        <v>0</v>
      </c>
      <c r="O455" t="str">
        <f t="shared" si="87"/>
        <v>BANKNIFTY</v>
      </c>
      <c r="P455" t="str">
        <f>IF(SEARCH("NIFTY",O455),RIGHT(A455,7),0)</f>
        <v>44000CE</v>
      </c>
      <c r="Q455">
        <f t="shared" ref="Q455:Q458" si="88">M455/C455</f>
        <v>-0.20287356321839081</v>
      </c>
      <c r="S455">
        <v>0</v>
      </c>
    </row>
    <row r="456" spans="1:19" x14ac:dyDescent="0.3">
      <c r="A456" s="1" t="s">
        <v>455</v>
      </c>
      <c r="B456" s="2">
        <v>45064</v>
      </c>
      <c r="C456" s="3">
        <v>4100</v>
      </c>
      <c r="D456" s="3">
        <v>20.74</v>
      </c>
      <c r="E456" s="3">
        <v>85015</v>
      </c>
      <c r="F456" s="3">
        <v>4100</v>
      </c>
      <c r="G456" s="3">
        <v>23.47</v>
      </c>
      <c r="H456" s="3">
        <f t="shared" si="86"/>
        <v>2.7300000000000004</v>
      </c>
      <c r="I456" s="3">
        <v>96235</v>
      </c>
      <c r="J456" s="3" t="s">
        <v>1</v>
      </c>
      <c r="K456" s="3" t="s">
        <v>1</v>
      </c>
      <c r="L456" s="3" t="s">
        <v>1</v>
      </c>
      <c r="M456" s="5">
        <v>11220</v>
      </c>
      <c r="N456" s="5">
        <v>0</v>
      </c>
      <c r="O456" t="str">
        <f t="shared" si="87"/>
        <v>BANKNIFTY</v>
      </c>
      <c r="P456" t="str">
        <f>IF(SEARCH("NIFTY",O456),RIGHT(A456,7),0)</f>
        <v>44900CE</v>
      </c>
      <c r="Q456">
        <f t="shared" si="88"/>
        <v>2.7365853658536587</v>
      </c>
      <c r="S456">
        <v>0</v>
      </c>
    </row>
    <row r="457" spans="1:19" x14ac:dyDescent="0.3">
      <c r="A457" s="1" t="s">
        <v>456</v>
      </c>
      <c r="B457" s="2">
        <v>45134</v>
      </c>
      <c r="C457" s="3">
        <v>900</v>
      </c>
      <c r="D457" s="3">
        <v>11.75</v>
      </c>
      <c r="E457" s="3">
        <v>10575</v>
      </c>
      <c r="F457" s="3">
        <v>900</v>
      </c>
      <c r="G457" s="3">
        <v>7.99</v>
      </c>
      <c r="H457" s="3">
        <f t="shared" si="86"/>
        <v>-3.76</v>
      </c>
      <c r="I457" s="3">
        <v>7191</v>
      </c>
      <c r="J457" s="3" t="s">
        <v>1</v>
      </c>
      <c r="K457" s="3" t="s">
        <v>1</v>
      </c>
      <c r="L457" s="3" t="s">
        <v>1</v>
      </c>
      <c r="M457" s="4">
        <v>-3384</v>
      </c>
      <c r="N457" s="5">
        <v>0</v>
      </c>
      <c r="O457" t="str">
        <f t="shared" si="87"/>
        <v>BANKNIFTY</v>
      </c>
      <c r="P457" t="str">
        <f>IF(SEARCH("NIFTY",O457),RIGHT(A457,7),0)</f>
        <v>42700PE</v>
      </c>
      <c r="Q457">
        <f t="shared" si="88"/>
        <v>-3.76</v>
      </c>
      <c r="S457">
        <v>0</v>
      </c>
    </row>
    <row r="458" spans="1:19" x14ac:dyDescent="0.3">
      <c r="A458" s="1" t="s">
        <v>457</v>
      </c>
      <c r="B458" s="2">
        <v>45071</v>
      </c>
      <c r="C458" s="3">
        <v>1000</v>
      </c>
      <c r="D458" s="3">
        <v>28.31</v>
      </c>
      <c r="E458" s="3">
        <v>28307.5</v>
      </c>
      <c r="F458" s="3">
        <v>1000</v>
      </c>
      <c r="G458" s="3">
        <v>21.14</v>
      </c>
      <c r="H458" s="3">
        <f t="shared" si="86"/>
        <v>-7.1699999999999982</v>
      </c>
      <c r="I458" s="3">
        <v>21136.25</v>
      </c>
      <c r="J458" s="3" t="s">
        <v>1</v>
      </c>
      <c r="K458" s="3" t="s">
        <v>1</v>
      </c>
      <c r="L458" s="3" t="s">
        <v>1</v>
      </c>
      <c r="M458" s="4">
        <v>-7171.25</v>
      </c>
      <c r="N458" s="5">
        <v>0</v>
      </c>
      <c r="O458" t="str">
        <f t="shared" si="87"/>
        <v>BANKNIFTY</v>
      </c>
      <c r="P458" t="str">
        <f>IF(SEARCH("NIFTY",O458),RIGHT(A458,7),0)</f>
        <v>44300CE</v>
      </c>
      <c r="Q458">
        <f t="shared" si="88"/>
        <v>-7.1712499999999997</v>
      </c>
      <c r="S458">
        <v>0</v>
      </c>
    </row>
    <row r="459" spans="1:19" hidden="1" x14ac:dyDescent="0.3">
      <c r="A459" s="1" t="s">
        <v>458</v>
      </c>
      <c r="B459" s="2">
        <v>45050</v>
      </c>
      <c r="C459" s="3">
        <v>2000</v>
      </c>
      <c r="D459" s="3">
        <v>1.44</v>
      </c>
      <c r="E459" s="3">
        <v>2875</v>
      </c>
      <c r="F459" s="3">
        <v>2000</v>
      </c>
      <c r="G459" s="3">
        <v>1.05</v>
      </c>
      <c r="H459" s="3">
        <f t="shared" si="86"/>
        <v>-0.3899999999999999</v>
      </c>
      <c r="I459" s="3">
        <v>2100</v>
      </c>
      <c r="J459" s="3" t="s">
        <v>1</v>
      </c>
      <c r="K459" s="3" t="s">
        <v>1</v>
      </c>
      <c r="L459" s="3" t="s">
        <v>1</v>
      </c>
      <c r="M459" s="4">
        <v>-775</v>
      </c>
      <c r="N459" s="5">
        <v>0</v>
      </c>
      <c r="O459" t="str">
        <f t="shared" si="87"/>
        <v>NIFTY</v>
      </c>
      <c r="P459" t="str">
        <f>IF(SEARCH("NIFTY",O459),RIGHT(A459,7),0)</f>
        <v>17800PE</v>
      </c>
      <c r="S459">
        <v>0</v>
      </c>
    </row>
    <row r="460" spans="1:19" hidden="1" x14ac:dyDescent="0.3">
      <c r="A460" s="1" t="s">
        <v>459</v>
      </c>
      <c r="B460" s="2">
        <v>45078</v>
      </c>
      <c r="C460" s="3">
        <v>10200</v>
      </c>
      <c r="D460" s="3">
        <v>3.57</v>
      </c>
      <c r="E460" s="3">
        <v>36435</v>
      </c>
      <c r="F460" s="3">
        <v>10200</v>
      </c>
      <c r="G460" s="3">
        <v>5.91</v>
      </c>
      <c r="H460" s="3">
        <f t="shared" si="86"/>
        <v>2.3400000000000003</v>
      </c>
      <c r="I460" s="3">
        <v>60300</v>
      </c>
      <c r="J460" s="3" t="s">
        <v>1</v>
      </c>
      <c r="K460" s="3" t="s">
        <v>1</v>
      </c>
      <c r="L460" s="3" t="s">
        <v>1</v>
      </c>
      <c r="M460" s="5">
        <v>23865</v>
      </c>
      <c r="N460" s="5">
        <v>0</v>
      </c>
      <c r="O460" t="str">
        <f t="shared" si="87"/>
        <v>NIFTY</v>
      </c>
      <c r="P460" t="str">
        <f>IF(SEARCH("NIFTY",O460),RIGHT(A460,7),0)</f>
        <v>18450PE</v>
      </c>
      <c r="S460">
        <v>0</v>
      </c>
    </row>
    <row r="461" spans="1:19" x14ac:dyDescent="0.3">
      <c r="A461" s="1" t="s">
        <v>460</v>
      </c>
      <c r="B461" s="2">
        <v>45134</v>
      </c>
      <c r="C461" s="3">
        <v>300</v>
      </c>
      <c r="D461" s="3">
        <v>208.26</v>
      </c>
      <c r="E461" s="3">
        <v>62478</v>
      </c>
      <c r="F461" s="3">
        <v>300</v>
      </c>
      <c r="G461" s="3">
        <v>170</v>
      </c>
      <c r="H461" s="3">
        <f t="shared" si="86"/>
        <v>-38.259999999999991</v>
      </c>
      <c r="I461" s="3">
        <v>51000</v>
      </c>
      <c r="J461" s="3" t="s">
        <v>1</v>
      </c>
      <c r="K461" s="3" t="s">
        <v>1</v>
      </c>
      <c r="L461" s="3" t="s">
        <v>1</v>
      </c>
      <c r="M461" s="4">
        <v>-11478</v>
      </c>
      <c r="N461" s="5">
        <v>0</v>
      </c>
      <c r="O461" t="str">
        <f t="shared" si="87"/>
        <v>BANKNIFTY</v>
      </c>
      <c r="P461" t="str">
        <f>IF(SEARCH("NIFTY",O461),RIGHT(A461,7),0)</f>
        <v>46000CE</v>
      </c>
      <c r="Q461">
        <f t="shared" ref="Q461:Q462" si="89">M461/C461</f>
        <v>-38.26</v>
      </c>
      <c r="S461">
        <v>0</v>
      </c>
    </row>
    <row r="462" spans="1:19" x14ac:dyDescent="0.3">
      <c r="A462" s="1" t="s">
        <v>461</v>
      </c>
      <c r="B462" s="2">
        <v>45057</v>
      </c>
      <c r="C462" s="3">
        <v>300</v>
      </c>
      <c r="D462" s="3">
        <v>5.65</v>
      </c>
      <c r="E462" s="3">
        <v>1695</v>
      </c>
      <c r="F462" s="3">
        <v>300</v>
      </c>
      <c r="G462" s="3">
        <v>5.85</v>
      </c>
      <c r="H462" s="3">
        <f t="shared" si="86"/>
        <v>0.19999999999999929</v>
      </c>
      <c r="I462" s="3">
        <v>1755</v>
      </c>
      <c r="J462" s="3" t="s">
        <v>1</v>
      </c>
      <c r="K462" s="3" t="s">
        <v>1</v>
      </c>
      <c r="L462" s="3" t="s">
        <v>1</v>
      </c>
      <c r="M462" s="5">
        <v>60</v>
      </c>
      <c r="N462" s="5">
        <v>0</v>
      </c>
      <c r="O462" t="str">
        <f t="shared" si="87"/>
        <v>BANKNIFTY</v>
      </c>
      <c r="P462" t="str">
        <f>IF(SEARCH("NIFTY",O462),RIGHT(A462,7),0)</f>
        <v>44600CE</v>
      </c>
      <c r="Q462">
        <f t="shared" si="89"/>
        <v>0.2</v>
      </c>
      <c r="S462">
        <v>0</v>
      </c>
    </row>
    <row r="463" spans="1:19" hidden="1" x14ac:dyDescent="0.3">
      <c r="A463" s="1" t="s">
        <v>462</v>
      </c>
      <c r="B463" s="2">
        <v>45057</v>
      </c>
      <c r="C463" s="3">
        <v>4000</v>
      </c>
      <c r="D463" s="3">
        <v>10.19</v>
      </c>
      <c r="E463" s="3">
        <v>40760</v>
      </c>
      <c r="F463" s="3">
        <v>4000</v>
      </c>
      <c r="G463" s="3">
        <v>7.19</v>
      </c>
      <c r="H463" s="3">
        <f t="shared" si="86"/>
        <v>-2.9999999999999991</v>
      </c>
      <c r="I463" s="3">
        <v>28777.5</v>
      </c>
      <c r="J463" s="3" t="s">
        <v>1</v>
      </c>
      <c r="K463" s="3" t="s">
        <v>1</v>
      </c>
      <c r="L463" s="3" t="s">
        <v>1</v>
      </c>
      <c r="M463" s="4">
        <v>-11982.5</v>
      </c>
      <c r="N463" s="5">
        <v>0</v>
      </c>
      <c r="O463" t="str">
        <f t="shared" si="87"/>
        <v>NIFTY</v>
      </c>
      <c r="P463" t="str">
        <f>IF(SEARCH("NIFTY",O463),RIGHT(A463,7),0)</f>
        <v>18150PE</v>
      </c>
      <c r="S463">
        <v>0</v>
      </c>
    </row>
    <row r="464" spans="1:19" x14ac:dyDescent="0.3">
      <c r="A464" s="1" t="s">
        <v>463</v>
      </c>
      <c r="B464" s="2">
        <v>45134</v>
      </c>
      <c r="C464" s="3">
        <v>825</v>
      </c>
      <c r="D464" s="3">
        <v>5.67</v>
      </c>
      <c r="E464" s="3">
        <v>4680</v>
      </c>
      <c r="F464" s="3">
        <v>825</v>
      </c>
      <c r="G464" s="3">
        <v>5.39</v>
      </c>
      <c r="H464" s="3">
        <f t="shared" si="86"/>
        <v>-0.28000000000000025</v>
      </c>
      <c r="I464" s="3">
        <v>4443.75</v>
      </c>
      <c r="J464" s="3" t="s">
        <v>1</v>
      </c>
      <c r="K464" s="3" t="s">
        <v>1</v>
      </c>
      <c r="L464" s="3" t="s">
        <v>1</v>
      </c>
      <c r="M464" s="4">
        <v>-236.25</v>
      </c>
      <c r="N464" s="5">
        <v>0</v>
      </c>
      <c r="O464" t="str">
        <f t="shared" si="87"/>
        <v>BANKNIFTY</v>
      </c>
      <c r="P464" t="str">
        <f>IF(SEARCH("NIFTY",O464),RIGHT(A464,7),0)</f>
        <v>44500PE</v>
      </c>
      <c r="Q464">
        <f>M464/C464</f>
        <v>-0.28636363636363638</v>
      </c>
      <c r="S464">
        <v>0</v>
      </c>
    </row>
    <row r="465" spans="1:19" hidden="1" x14ac:dyDescent="0.3">
      <c r="A465" s="1" t="s">
        <v>464</v>
      </c>
      <c r="B465" s="2">
        <v>45160</v>
      </c>
      <c r="C465" s="3">
        <v>8800</v>
      </c>
      <c r="D465" s="3">
        <v>6.93</v>
      </c>
      <c r="E465" s="3">
        <v>60946</v>
      </c>
      <c r="F465" s="3">
        <v>8800</v>
      </c>
      <c r="G465" s="3">
        <v>14.51</v>
      </c>
      <c r="H465" s="3">
        <f t="shared" si="86"/>
        <v>7.58</v>
      </c>
      <c r="I465" s="3">
        <v>127728</v>
      </c>
      <c r="J465" s="3" t="s">
        <v>1</v>
      </c>
      <c r="K465" s="3" t="s">
        <v>1</v>
      </c>
      <c r="L465" s="3" t="s">
        <v>1</v>
      </c>
      <c r="M465" s="5">
        <v>66782</v>
      </c>
      <c r="N465" s="5">
        <v>0</v>
      </c>
      <c r="O465" t="str">
        <f t="shared" si="87"/>
        <v>FINNIFTY</v>
      </c>
      <c r="P465" t="str">
        <f>IF(SEARCH("NIFTY",O465),RIGHT(A465,7),0)</f>
        <v>19650CE</v>
      </c>
      <c r="S465">
        <v>0</v>
      </c>
    </row>
    <row r="466" spans="1:19" hidden="1" x14ac:dyDescent="0.3">
      <c r="A466" s="1" t="s">
        <v>465</v>
      </c>
      <c r="B466" s="2">
        <v>45050</v>
      </c>
      <c r="C466" s="3">
        <v>11550</v>
      </c>
      <c r="D466" s="3">
        <v>7.16</v>
      </c>
      <c r="E466" s="3">
        <v>82645</v>
      </c>
      <c r="F466" s="3">
        <v>11550</v>
      </c>
      <c r="G466" s="3">
        <v>9.65</v>
      </c>
      <c r="H466" s="3">
        <f t="shared" si="86"/>
        <v>2.4900000000000002</v>
      </c>
      <c r="I466" s="3">
        <v>111507.5</v>
      </c>
      <c r="J466" s="3" t="s">
        <v>1</v>
      </c>
      <c r="K466" s="3" t="s">
        <v>1</v>
      </c>
      <c r="L466" s="3" t="s">
        <v>1</v>
      </c>
      <c r="M466" s="5">
        <v>28862.5</v>
      </c>
      <c r="N466" s="5">
        <v>0</v>
      </c>
      <c r="O466" t="str">
        <f t="shared" si="87"/>
        <v>NIFTY</v>
      </c>
      <c r="P466" t="str">
        <f>IF(SEARCH("NIFTY",O466),RIGHT(A466,7),0)</f>
        <v>18150PE</v>
      </c>
      <c r="S466">
        <v>0</v>
      </c>
    </row>
    <row r="467" spans="1:19" x14ac:dyDescent="0.3">
      <c r="A467" s="1" t="s">
        <v>466</v>
      </c>
      <c r="B467" s="2">
        <v>45085</v>
      </c>
      <c r="C467" s="3">
        <v>1450</v>
      </c>
      <c r="D467" s="3">
        <v>5.56</v>
      </c>
      <c r="E467" s="3">
        <v>8057.5</v>
      </c>
      <c r="F467" s="3">
        <v>1450</v>
      </c>
      <c r="G467" s="3">
        <v>10.08</v>
      </c>
      <c r="H467" s="3">
        <f t="shared" si="86"/>
        <v>4.5200000000000005</v>
      </c>
      <c r="I467" s="3">
        <v>14622.5</v>
      </c>
      <c r="J467" s="3" t="s">
        <v>1</v>
      </c>
      <c r="K467" s="3" t="s">
        <v>1</v>
      </c>
      <c r="L467" s="3" t="s">
        <v>1</v>
      </c>
      <c r="M467" s="5">
        <v>6565</v>
      </c>
      <c r="N467" s="5">
        <v>0</v>
      </c>
      <c r="O467" t="str">
        <f t="shared" si="87"/>
        <v>BANKNIFTY</v>
      </c>
      <c r="P467" t="str">
        <f>IF(SEARCH("NIFTY",O467),RIGHT(A467,7),0)</f>
        <v>44000CE</v>
      </c>
      <c r="Q467">
        <f t="shared" ref="Q467:Q470" si="90">M467/C467</f>
        <v>4.5275862068965518</v>
      </c>
      <c r="S467">
        <v>0</v>
      </c>
    </row>
    <row r="468" spans="1:19" x14ac:dyDescent="0.3">
      <c r="A468" s="1" t="s">
        <v>467</v>
      </c>
      <c r="B468" s="2">
        <v>45078</v>
      </c>
      <c r="C468" s="3">
        <v>1400</v>
      </c>
      <c r="D468" s="3">
        <v>23.64</v>
      </c>
      <c r="E468" s="3">
        <v>33091.25</v>
      </c>
      <c r="F468" s="3">
        <v>1400</v>
      </c>
      <c r="G468" s="3">
        <v>21.34</v>
      </c>
      <c r="H468" s="3">
        <f t="shared" si="86"/>
        <v>-2.3000000000000007</v>
      </c>
      <c r="I468" s="3">
        <v>29876.25</v>
      </c>
      <c r="J468" s="3" t="s">
        <v>1</v>
      </c>
      <c r="K468" s="3" t="s">
        <v>1</v>
      </c>
      <c r="L468" s="3" t="s">
        <v>1</v>
      </c>
      <c r="M468" s="4">
        <v>-3215</v>
      </c>
      <c r="N468" s="5">
        <v>0</v>
      </c>
      <c r="O468" t="str">
        <f t="shared" si="87"/>
        <v>BANKNIFTY</v>
      </c>
      <c r="P468" t="str">
        <f>IF(SEARCH("NIFTY",O468),RIGHT(A468,7),0)</f>
        <v>44900CE</v>
      </c>
      <c r="Q468">
        <f t="shared" si="90"/>
        <v>-2.2964285714285713</v>
      </c>
      <c r="S468">
        <v>0</v>
      </c>
    </row>
    <row r="469" spans="1:19" x14ac:dyDescent="0.3">
      <c r="A469" s="1" t="s">
        <v>468</v>
      </c>
      <c r="B469" s="2">
        <v>45134</v>
      </c>
      <c r="C469" s="3">
        <v>240</v>
      </c>
      <c r="D469" s="3">
        <v>76</v>
      </c>
      <c r="E469" s="3">
        <v>18239.25</v>
      </c>
      <c r="F469" s="3">
        <v>240</v>
      </c>
      <c r="G469" s="3">
        <v>77.19</v>
      </c>
      <c r="H469" s="3">
        <f t="shared" si="86"/>
        <v>1.1899999999999977</v>
      </c>
      <c r="I469" s="3">
        <v>18526.5</v>
      </c>
      <c r="J469" s="3" t="s">
        <v>1</v>
      </c>
      <c r="K469" s="3" t="s">
        <v>1</v>
      </c>
      <c r="L469" s="3" t="s">
        <v>1</v>
      </c>
      <c r="M469" s="5">
        <v>287.25</v>
      </c>
      <c r="N469" s="5">
        <v>0</v>
      </c>
      <c r="O469" t="str">
        <f t="shared" si="87"/>
        <v>BANKNIFTY</v>
      </c>
      <c r="P469" t="str">
        <f>IF(SEARCH("NIFTY",O469),RIGHT(A469,7),0)</f>
        <v>46500CE</v>
      </c>
      <c r="Q469">
        <f t="shared" si="90"/>
        <v>1.1968749999999999</v>
      </c>
      <c r="S469">
        <v>0</v>
      </c>
    </row>
    <row r="470" spans="1:19" x14ac:dyDescent="0.3">
      <c r="A470" s="1" t="s">
        <v>469</v>
      </c>
      <c r="B470" s="2">
        <v>45155</v>
      </c>
      <c r="C470" s="3">
        <v>150</v>
      </c>
      <c r="D470" s="3">
        <v>277.5</v>
      </c>
      <c r="E470" s="3">
        <v>41625</v>
      </c>
      <c r="F470" s="3">
        <v>150</v>
      </c>
      <c r="G470" s="3">
        <v>213.65</v>
      </c>
      <c r="H470" s="3">
        <f t="shared" si="86"/>
        <v>-63.849999999999994</v>
      </c>
      <c r="I470" s="3">
        <v>32047.5</v>
      </c>
      <c r="J470" s="3" t="s">
        <v>1</v>
      </c>
      <c r="K470" s="3" t="s">
        <v>1</v>
      </c>
      <c r="L470" s="3" t="s">
        <v>1</v>
      </c>
      <c r="M470" s="4">
        <v>-9577.5</v>
      </c>
      <c r="N470" s="5">
        <v>0</v>
      </c>
      <c r="O470" t="str">
        <f t="shared" si="87"/>
        <v>BANKNIFTY</v>
      </c>
      <c r="P470" t="str">
        <f>IF(SEARCH("NIFTY",O470),RIGHT(A470,7),0)</f>
        <v>44000CE</v>
      </c>
      <c r="Q470">
        <f t="shared" si="90"/>
        <v>-63.85</v>
      </c>
      <c r="S470">
        <v>0</v>
      </c>
    </row>
    <row r="471" spans="1:19" hidden="1" x14ac:dyDescent="0.3">
      <c r="A471" s="1" t="s">
        <v>470</v>
      </c>
      <c r="B471" s="2">
        <v>45050</v>
      </c>
      <c r="C471" s="3">
        <v>3000</v>
      </c>
      <c r="D471" s="3">
        <v>2.35</v>
      </c>
      <c r="E471" s="3">
        <v>7050</v>
      </c>
      <c r="F471" s="3">
        <v>3000</v>
      </c>
      <c r="G471" s="3">
        <v>1.65</v>
      </c>
      <c r="H471" s="3">
        <f t="shared" si="86"/>
        <v>-0.70000000000000018</v>
      </c>
      <c r="I471" s="3">
        <v>4950</v>
      </c>
      <c r="J471" s="3" t="s">
        <v>1</v>
      </c>
      <c r="K471" s="3" t="s">
        <v>1</v>
      </c>
      <c r="L471" s="3" t="s">
        <v>1</v>
      </c>
      <c r="M471" s="4">
        <v>-2100</v>
      </c>
      <c r="N471" s="5">
        <v>0</v>
      </c>
      <c r="O471" t="str">
        <f t="shared" si="87"/>
        <v>NIFTY</v>
      </c>
      <c r="P471" t="str">
        <f>IF(SEARCH("NIFTY",O471),RIGHT(A471,7),0)</f>
        <v>17950PE</v>
      </c>
      <c r="S471">
        <v>0</v>
      </c>
    </row>
    <row r="472" spans="1:19" x14ac:dyDescent="0.3">
      <c r="A472" s="1" t="s">
        <v>471</v>
      </c>
      <c r="B472" s="2">
        <v>45057</v>
      </c>
      <c r="C472" s="3">
        <v>450</v>
      </c>
      <c r="D472" s="3">
        <v>5.22</v>
      </c>
      <c r="E472" s="3">
        <v>2347.5</v>
      </c>
      <c r="F472" s="3">
        <v>450</v>
      </c>
      <c r="G472" s="3">
        <v>5.75</v>
      </c>
      <c r="H472" s="3">
        <f t="shared" si="86"/>
        <v>0.53000000000000025</v>
      </c>
      <c r="I472" s="3">
        <v>2587.5</v>
      </c>
      <c r="J472" s="3" t="s">
        <v>1</v>
      </c>
      <c r="K472" s="3" t="s">
        <v>1</v>
      </c>
      <c r="L472" s="3" t="s">
        <v>1</v>
      </c>
      <c r="M472" s="5">
        <v>240</v>
      </c>
      <c r="N472" s="5">
        <v>0</v>
      </c>
      <c r="O472" t="str">
        <f t="shared" si="87"/>
        <v>BANKNIFTY</v>
      </c>
      <c r="P472" t="str">
        <f>IF(SEARCH("NIFTY",O472),RIGHT(A472,7),0)</f>
        <v>45500CE</v>
      </c>
      <c r="Q472">
        <f t="shared" ref="Q472:Q475" si="91">M472/C472</f>
        <v>0.53333333333333333</v>
      </c>
      <c r="S472">
        <v>0</v>
      </c>
    </row>
    <row r="473" spans="1:19" x14ac:dyDescent="0.3">
      <c r="A473" s="1" t="s">
        <v>472</v>
      </c>
      <c r="B473" s="2">
        <v>45078</v>
      </c>
      <c r="C473" s="3">
        <v>450</v>
      </c>
      <c r="D473" s="3">
        <v>50.56</v>
      </c>
      <c r="E473" s="3">
        <v>22751.25</v>
      </c>
      <c r="F473" s="3">
        <v>450</v>
      </c>
      <c r="G473" s="3">
        <v>35.119999999999997</v>
      </c>
      <c r="H473" s="3">
        <f t="shared" si="86"/>
        <v>-15.440000000000005</v>
      </c>
      <c r="I473" s="3">
        <v>15805</v>
      </c>
      <c r="J473" s="3" t="s">
        <v>1</v>
      </c>
      <c r="K473" s="3" t="s">
        <v>1</v>
      </c>
      <c r="L473" s="3" t="s">
        <v>1</v>
      </c>
      <c r="M473" s="4">
        <v>-6946.25</v>
      </c>
      <c r="N473" s="5">
        <v>0</v>
      </c>
      <c r="O473" t="str">
        <f t="shared" si="87"/>
        <v>BANKNIFTY</v>
      </c>
      <c r="P473" t="str">
        <f>IF(SEARCH("NIFTY",O473),RIGHT(A473,7),0)</f>
        <v>43900PE</v>
      </c>
      <c r="Q473">
        <f t="shared" si="91"/>
        <v>-15.436111111111112</v>
      </c>
      <c r="S473">
        <v>0</v>
      </c>
    </row>
    <row r="474" spans="1:19" x14ac:dyDescent="0.3">
      <c r="A474" s="1" t="s">
        <v>473</v>
      </c>
      <c r="B474" s="2">
        <v>45169</v>
      </c>
      <c r="C474" s="3">
        <v>900</v>
      </c>
      <c r="D474" s="3">
        <v>53.49</v>
      </c>
      <c r="E474" s="3">
        <v>48139.5</v>
      </c>
      <c r="F474" s="3">
        <v>900</v>
      </c>
      <c r="G474" s="3">
        <v>51.89</v>
      </c>
      <c r="H474" s="3">
        <f t="shared" si="86"/>
        <v>-1.6000000000000014</v>
      </c>
      <c r="I474" s="3">
        <v>46700.25</v>
      </c>
      <c r="J474" s="3" t="s">
        <v>1</v>
      </c>
      <c r="K474" s="3" t="s">
        <v>1</v>
      </c>
      <c r="L474" s="3" t="s">
        <v>1</v>
      </c>
      <c r="M474" s="4">
        <v>-1439.25</v>
      </c>
      <c r="N474" s="5">
        <v>0</v>
      </c>
      <c r="O474" t="str">
        <f t="shared" si="87"/>
        <v>BANKNIFTY</v>
      </c>
      <c r="P474" t="str">
        <f>IF(SEARCH("NIFTY",O474),RIGHT(A474,7),0)</f>
        <v>43500PE</v>
      </c>
      <c r="Q474">
        <f t="shared" si="91"/>
        <v>-1.5991666666666666</v>
      </c>
      <c r="S474">
        <v>0</v>
      </c>
    </row>
    <row r="475" spans="1:19" x14ac:dyDescent="0.3">
      <c r="A475" s="1" t="s">
        <v>474</v>
      </c>
      <c r="B475" s="2">
        <v>45078</v>
      </c>
      <c r="C475" s="3">
        <v>4150</v>
      </c>
      <c r="D475" s="3">
        <v>28.84</v>
      </c>
      <c r="E475" s="3">
        <v>119695</v>
      </c>
      <c r="F475" s="3">
        <v>4150</v>
      </c>
      <c r="G475" s="3">
        <v>30.32</v>
      </c>
      <c r="H475" s="3">
        <f t="shared" si="86"/>
        <v>1.4800000000000004</v>
      </c>
      <c r="I475" s="3">
        <v>125838.75</v>
      </c>
      <c r="J475" s="3" t="s">
        <v>1</v>
      </c>
      <c r="K475" s="3" t="s">
        <v>1</v>
      </c>
      <c r="L475" s="3" t="s">
        <v>1</v>
      </c>
      <c r="M475" s="5">
        <v>6143.75</v>
      </c>
      <c r="N475" s="5">
        <v>0</v>
      </c>
      <c r="O475" t="str">
        <f t="shared" si="87"/>
        <v>BANKNIFTY</v>
      </c>
      <c r="P475" t="str">
        <f>IF(SEARCH("NIFTY",O475),RIGHT(A475,7),0)</f>
        <v>43400PE</v>
      </c>
      <c r="Q475">
        <f t="shared" si="91"/>
        <v>1.4804216867469879</v>
      </c>
      <c r="S475">
        <v>0</v>
      </c>
    </row>
    <row r="476" spans="1:19" hidden="1" x14ac:dyDescent="0.3">
      <c r="A476" s="1" t="s">
        <v>475</v>
      </c>
      <c r="B476" s="2">
        <v>45085</v>
      </c>
      <c r="C476" s="3">
        <v>2000</v>
      </c>
      <c r="D476" s="3">
        <v>1.65</v>
      </c>
      <c r="E476" s="3">
        <v>3300</v>
      </c>
      <c r="F476" s="3">
        <v>2000</v>
      </c>
      <c r="G476" s="3">
        <v>1.7</v>
      </c>
      <c r="H476" s="3">
        <f t="shared" si="86"/>
        <v>5.0000000000000044E-2</v>
      </c>
      <c r="I476" s="3">
        <v>3400</v>
      </c>
      <c r="J476" s="3" t="s">
        <v>1</v>
      </c>
      <c r="K476" s="3" t="s">
        <v>1</v>
      </c>
      <c r="L476" s="3" t="s">
        <v>1</v>
      </c>
      <c r="M476" s="5">
        <v>100</v>
      </c>
      <c r="N476" s="5">
        <v>0</v>
      </c>
      <c r="O476" t="str">
        <f t="shared" si="87"/>
        <v>NIFTY</v>
      </c>
      <c r="P476" t="str">
        <f>IF(SEARCH("NIFTY",O476),RIGHT(A476,7),0)</f>
        <v>18450PE</v>
      </c>
      <c r="S476">
        <v>0</v>
      </c>
    </row>
    <row r="477" spans="1:19" x14ac:dyDescent="0.3">
      <c r="A477" s="1" t="s">
        <v>476</v>
      </c>
      <c r="B477" s="2">
        <v>45064</v>
      </c>
      <c r="C477" s="3">
        <v>1300</v>
      </c>
      <c r="D477" s="3">
        <v>35.53</v>
      </c>
      <c r="E477" s="3">
        <v>46182.5</v>
      </c>
      <c r="F477" s="3">
        <v>1300</v>
      </c>
      <c r="G477" s="3">
        <v>41.91</v>
      </c>
      <c r="H477" s="3">
        <f t="shared" si="86"/>
        <v>6.3799999999999955</v>
      </c>
      <c r="I477" s="3">
        <v>54480</v>
      </c>
      <c r="J477" s="3" t="s">
        <v>1</v>
      </c>
      <c r="K477" s="3" t="s">
        <v>1</v>
      </c>
      <c r="L477" s="3" t="s">
        <v>1</v>
      </c>
      <c r="M477" s="5">
        <v>8297.5</v>
      </c>
      <c r="N477" s="5">
        <v>0</v>
      </c>
      <c r="O477" t="str">
        <f t="shared" si="87"/>
        <v>BANKNIFTY</v>
      </c>
      <c r="P477" t="str">
        <f>IF(SEARCH("NIFTY",O477),RIGHT(A477,7),0)</f>
        <v>42200PE</v>
      </c>
      <c r="Q477">
        <f t="shared" ref="Q477:Q478" si="92">M477/C477</f>
        <v>6.3826923076923077</v>
      </c>
      <c r="S477">
        <v>0</v>
      </c>
    </row>
    <row r="478" spans="1:19" x14ac:dyDescent="0.3">
      <c r="A478" s="1" t="s">
        <v>477</v>
      </c>
      <c r="B478" s="2">
        <v>45113</v>
      </c>
      <c r="C478" s="3">
        <v>500</v>
      </c>
      <c r="D478" s="3">
        <v>22.8</v>
      </c>
      <c r="E478" s="3">
        <v>11400</v>
      </c>
      <c r="F478" s="3">
        <v>500</v>
      </c>
      <c r="G478" s="3">
        <v>30</v>
      </c>
      <c r="H478" s="3">
        <f t="shared" si="86"/>
        <v>7.1999999999999993</v>
      </c>
      <c r="I478" s="3">
        <v>15000</v>
      </c>
      <c r="J478" s="3" t="s">
        <v>1</v>
      </c>
      <c r="K478" s="3" t="s">
        <v>1</v>
      </c>
      <c r="L478" s="3" t="s">
        <v>1</v>
      </c>
      <c r="M478" s="5">
        <v>3600</v>
      </c>
      <c r="N478" s="5">
        <v>0</v>
      </c>
      <c r="O478" t="str">
        <f t="shared" si="87"/>
        <v>BANKNIFTY</v>
      </c>
      <c r="P478" t="str">
        <f>IF(SEARCH("NIFTY",O478),RIGHT(A478,7),0)</f>
        <v>46100CE</v>
      </c>
      <c r="Q478">
        <f t="shared" si="92"/>
        <v>7.2</v>
      </c>
      <c r="S478">
        <v>0</v>
      </c>
    </row>
    <row r="479" spans="1:19" hidden="1" x14ac:dyDescent="0.3">
      <c r="A479" s="1" t="s">
        <v>478</v>
      </c>
      <c r="B479" s="2">
        <v>45139</v>
      </c>
      <c r="C479" s="3">
        <v>200</v>
      </c>
      <c r="D479" s="3">
        <v>1.35</v>
      </c>
      <c r="E479" s="3">
        <v>270</v>
      </c>
      <c r="F479" s="3">
        <v>200</v>
      </c>
      <c r="G479" s="3">
        <v>0.4</v>
      </c>
      <c r="H479" s="3">
        <f t="shared" si="86"/>
        <v>-0.95000000000000007</v>
      </c>
      <c r="I479" s="3">
        <v>80</v>
      </c>
      <c r="J479" s="3" t="s">
        <v>1</v>
      </c>
      <c r="K479" s="3" t="s">
        <v>1</v>
      </c>
      <c r="L479" s="3" t="s">
        <v>1</v>
      </c>
      <c r="M479" s="4">
        <v>-190</v>
      </c>
      <c r="N479" s="5">
        <v>0</v>
      </c>
      <c r="O479" t="str">
        <f t="shared" si="87"/>
        <v>FINNIFTY</v>
      </c>
      <c r="P479" t="str">
        <f>IF(SEARCH("NIFTY",O479),RIGHT(A479,7),0)</f>
        <v>19500PE</v>
      </c>
      <c r="S479">
        <v>0</v>
      </c>
    </row>
    <row r="480" spans="1:19" x14ac:dyDescent="0.3">
      <c r="A480" s="1" t="s">
        <v>479</v>
      </c>
      <c r="B480" s="2">
        <v>45036</v>
      </c>
      <c r="C480" s="3">
        <v>1650</v>
      </c>
      <c r="D480" s="3">
        <v>20.14</v>
      </c>
      <c r="E480" s="3">
        <v>33223.75</v>
      </c>
      <c r="F480" s="3">
        <v>1650</v>
      </c>
      <c r="G480" s="3">
        <v>24.11</v>
      </c>
      <c r="H480" s="3">
        <f t="shared" si="86"/>
        <v>3.9699999999999989</v>
      </c>
      <c r="I480" s="3">
        <v>39778.75</v>
      </c>
      <c r="J480" s="3" t="s">
        <v>1</v>
      </c>
      <c r="K480" s="3" t="s">
        <v>1</v>
      </c>
      <c r="L480" s="3" t="s">
        <v>1</v>
      </c>
      <c r="M480" s="5">
        <v>6555</v>
      </c>
      <c r="N480" s="5">
        <v>0</v>
      </c>
      <c r="O480" t="str">
        <f t="shared" si="87"/>
        <v>BANKNIFTY</v>
      </c>
      <c r="P480" t="str">
        <f>IF(SEARCH("NIFTY",O480),RIGHT(A480,7),0)</f>
        <v>42200PE</v>
      </c>
      <c r="Q480">
        <f t="shared" ref="Q480:Q482" si="93">M480/C480</f>
        <v>3.9727272727272727</v>
      </c>
      <c r="S480">
        <v>0</v>
      </c>
    </row>
    <row r="481" spans="1:19" x14ac:dyDescent="0.3">
      <c r="A481" s="1" t="s">
        <v>480</v>
      </c>
      <c r="B481" s="2">
        <v>45057</v>
      </c>
      <c r="C481" s="3">
        <v>450</v>
      </c>
      <c r="D481" s="3">
        <v>9.51</v>
      </c>
      <c r="E481" s="3">
        <v>4277.5</v>
      </c>
      <c r="F481" s="3">
        <v>450</v>
      </c>
      <c r="G481" s="3">
        <v>12.25</v>
      </c>
      <c r="H481" s="3">
        <f t="shared" si="86"/>
        <v>2.74</v>
      </c>
      <c r="I481" s="3">
        <v>5512.5</v>
      </c>
      <c r="J481" s="3" t="s">
        <v>1</v>
      </c>
      <c r="K481" s="3" t="s">
        <v>1</v>
      </c>
      <c r="L481" s="3" t="s">
        <v>1</v>
      </c>
      <c r="M481" s="5">
        <v>1235</v>
      </c>
      <c r="N481" s="5">
        <v>0</v>
      </c>
      <c r="O481" t="str">
        <f t="shared" si="87"/>
        <v>BANKNIFTY</v>
      </c>
      <c r="P481" t="str">
        <f>IF(SEARCH("NIFTY",O481),RIGHT(A481,7),0)</f>
        <v>41500PE</v>
      </c>
      <c r="Q481">
        <f t="shared" si="93"/>
        <v>2.7444444444444445</v>
      </c>
      <c r="S481">
        <v>0</v>
      </c>
    </row>
    <row r="482" spans="1:19" x14ac:dyDescent="0.3">
      <c r="A482" s="1" t="s">
        <v>481</v>
      </c>
      <c r="B482" s="2">
        <v>45057</v>
      </c>
      <c r="C482" s="3">
        <v>450</v>
      </c>
      <c r="D482" s="3">
        <v>56.2</v>
      </c>
      <c r="E482" s="3">
        <v>25290</v>
      </c>
      <c r="F482" s="3">
        <v>450</v>
      </c>
      <c r="G482" s="3">
        <v>51.4</v>
      </c>
      <c r="H482" s="3">
        <f t="shared" si="86"/>
        <v>-4.8000000000000043</v>
      </c>
      <c r="I482" s="3">
        <v>23130</v>
      </c>
      <c r="J482" s="3" t="s">
        <v>1</v>
      </c>
      <c r="K482" s="3" t="s">
        <v>1</v>
      </c>
      <c r="L482" s="3" t="s">
        <v>1</v>
      </c>
      <c r="M482" s="4">
        <v>-2160</v>
      </c>
      <c r="N482" s="5">
        <v>0</v>
      </c>
      <c r="O482" t="str">
        <f t="shared" si="87"/>
        <v>BANKNIFTY</v>
      </c>
      <c r="P482" t="str">
        <f>IF(SEARCH("NIFTY",O482),RIGHT(A482,7),0)</f>
        <v>44100CE</v>
      </c>
      <c r="Q482">
        <f t="shared" si="93"/>
        <v>-4.8</v>
      </c>
      <c r="S482">
        <v>0</v>
      </c>
    </row>
    <row r="483" spans="1:19" hidden="1" x14ac:dyDescent="0.3">
      <c r="A483" s="1" t="s">
        <v>482</v>
      </c>
      <c r="B483" s="2">
        <v>45048</v>
      </c>
      <c r="C483" s="3">
        <v>8000</v>
      </c>
      <c r="D483" s="3">
        <v>6.41</v>
      </c>
      <c r="E483" s="3">
        <v>51256</v>
      </c>
      <c r="F483" s="3">
        <v>8000</v>
      </c>
      <c r="G483" s="3">
        <v>9.59</v>
      </c>
      <c r="H483" s="3">
        <f t="shared" si="86"/>
        <v>3.1799999999999997</v>
      </c>
      <c r="I483" s="3">
        <v>76750</v>
      </c>
      <c r="J483" s="3" t="s">
        <v>1</v>
      </c>
      <c r="K483" s="3" t="s">
        <v>1</v>
      </c>
      <c r="L483" s="3" t="s">
        <v>1</v>
      </c>
      <c r="M483" s="5">
        <v>25494</v>
      </c>
      <c r="N483" s="5">
        <v>0</v>
      </c>
      <c r="O483" t="str">
        <f t="shared" si="87"/>
        <v>FINNIFTY</v>
      </c>
      <c r="P483" t="str">
        <f>IF(SEARCH("NIFTY",O483),RIGHT(A483,7),0)</f>
        <v>19200PE</v>
      </c>
      <c r="S483">
        <v>0</v>
      </c>
    </row>
    <row r="484" spans="1:19" x14ac:dyDescent="0.3">
      <c r="A484" s="1" t="s">
        <v>483</v>
      </c>
      <c r="B484" s="2">
        <v>45092</v>
      </c>
      <c r="C484" s="3">
        <v>1900</v>
      </c>
      <c r="D484" s="3">
        <v>39.14</v>
      </c>
      <c r="E484" s="3">
        <v>74366.25</v>
      </c>
      <c r="F484" s="3">
        <v>1900</v>
      </c>
      <c r="G484" s="3">
        <v>35.15</v>
      </c>
      <c r="H484" s="3">
        <f t="shared" si="86"/>
        <v>-3.990000000000002</v>
      </c>
      <c r="I484" s="3">
        <v>66787.5</v>
      </c>
      <c r="J484" s="3" t="s">
        <v>1</v>
      </c>
      <c r="K484" s="3" t="s">
        <v>1</v>
      </c>
      <c r="L484" s="3" t="s">
        <v>1</v>
      </c>
      <c r="M484" s="4">
        <v>-7578.75</v>
      </c>
      <c r="N484" s="5">
        <v>0</v>
      </c>
      <c r="O484" t="str">
        <f t="shared" si="87"/>
        <v>BANKNIFTY</v>
      </c>
      <c r="P484" t="str">
        <f>IF(SEARCH("NIFTY",O484),RIGHT(A484,7),0)</f>
        <v>43600PE</v>
      </c>
      <c r="Q484">
        <f t="shared" ref="Q484:Q485" si="94">M484/C484</f>
        <v>-3.9888157894736844</v>
      </c>
      <c r="S484">
        <v>0</v>
      </c>
    </row>
    <row r="485" spans="1:19" x14ac:dyDescent="0.3">
      <c r="A485" s="1" t="s">
        <v>484</v>
      </c>
      <c r="B485" s="2">
        <v>45050</v>
      </c>
      <c r="C485" s="3">
        <v>1200</v>
      </c>
      <c r="D485" s="3">
        <v>86.39</v>
      </c>
      <c r="E485" s="3">
        <v>103662.5</v>
      </c>
      <c r="F485" s="3">
        <v>1200</v>
      </c>
      <c r="G485" s="3">
        <v>85.58</v>
      </c>
      <c r="H485" s="3">
        <f t="shared" si="86"/>
        <v>-0.81000000000000227</v>
      </c>
      <c r="I485" s="3">
        <v>102698.75</v>
      </c>
      <c r="J485" s="3" t="s">
        <v>1</v>
      </c>
      <c r="K485" s="3" t="s">
        <v>1</v>
      </c>
      <c r="L485" s="3" t="s">
        <v>1</v>
      </c>
      <c r="M485" s="4">
        <v>-963.75</v>
      </c>
      <c r="N485" s="5">
        <v>0</v>
      </c>
      <c r="O485" t="str">
        <f t="shared" si="87"/>
        <v>BANKNIFTY</v>
      </c>
      <c r="P485" t="str">
        <f>IF(SEARCH("NIFTY",O485),RIGHT(A485,7),0)</f>
        <v>42300PE</v>
      </c>
      <c r="Q485">
        <f t="shared" si="94"/>
        <v>-0.80312499999999998</v>
      </c>
      <c r="S485">
        <v>0</v>
      </c>
    </row>
    <row r="486" spans="1:19" hidden="1" x14ac:dyDescent="0.3">
      <c r="A486" s="1" t="s">
        <v>485</v>
      </c>
      <c r="B486" s="2">
        <v>45076</v>
      </c>
      <c r="C486" s="3">
        <v>4000</v>
      </c>
      <c r="D486" s="3">
        <v>3.1</v>
      </c>
      <c r="E486" s="3">
        <v>12400</v>
      </c>
      <c r="F486" s="3">
        <v>4000</v>
      </c>
      <c r="G486" s="3">
        <v>4.7</v>
      </c>
      <c r="H486" s="3">
        <f t="shared" si="86"/>
        <v>1.6</v>
      </c>
      <c r="I486" s="3">
        <v>18800</v>
      </c>
      <c r="J486" s="3" t="s">
        <v>1</v>
      </c>
      <c r="K486" s="3" t="s">
        <v>1</v>
      </c>
      <c r="L486" s="3" t="s">
        <v>1</v>
      </c>
      <c r="M486" s="5">
        <v>6400</v>
      </c>
      <c r="N486" s="5">
        <v>0</v>
      </c>
      <c r="O486" t="str">
        <f t="shared" si="87"/>
        <v>FINNIFTY</v>
      </c>
      <c r="P486" t="str">
        <f>IF(SEARCH("NIFTY",O486),RIGHT(A486,7),0)</f>
        <v>19650CE</v>
      </c>
      <c r="S486">
        <v>0</v>
      </c>
    </row>
    <row r="487" spans="1:19" hidden="1" x14ac:dyDescent="0.3">
      <c r="A487" s="1" t="s">
        <v>486</v>
      </c>
      <c r="B487" s="2">
        <v>45162</v>
      </c>
      <c r="C487" s="3">
        <v>3000</v>
      </c>
      <c r="D487" s="3">
        <v>4.87</v>
      </c>
      <c r="E487" s="3">
        <v>14610</v>
      </c>
      <c r="F487" s="3">
        <v>3000</v>
      </c>
      <c r="G487" s="3">
        <v>7.19</v>
      </c>
      <c r="H487" s="3">
        <f t="shared" si="86"/>
        <v>2.3200000000000003</v>
      </c>
      <c r="I487" s="3">
        <v>21575</v>
      </c>
      <c r="J487" s="3" t="s">
        <v>1</v>
      </c>
      <c r="K487" s="3" t="s">
        <v>1</v>
      </c>
      <c r="L487" s="3" t="s">
        <v>1</v>
      </c>
      <c r="M487" s="5">
        <v>6965</v>
      </c>
      <c r="N487" s="5">
        <v>0</v>
      </c>
      <c r="O487" t="str">
        <f t="shared" si="87"/>
        <v>NIFTY</v>
      </c>
      <c r="P487" t="str">
        <f>IF(SEARCH("NIFTY",O487),RIGHT(A487,7),0)</f>
        <v>19400PE</v>
      </c>
      <c r="S487">
        <v>0</v>
      </c>
    </row>
    <row r="488" spans="1:19" x14ac:dyDescent="0.3">
      <c r="A488" s="1" t="s">
        <v>487</v>
      </c>
      <c r="B488" s="2">
        <v>45169</v>
      </c>
      <c r="C488" s="3">
        <v>495</v>
      </c>
      <c r="D488" s="3">
        <v>160</v>
      </c>
      <c r="E488" s="3">
        <v>79200</v>
      </c>
      <c r="F488" s="3">
        <v>495</v>
      </c>
      <c r="G488" s="3">
        <v>151.94</v>
      </c>
      <c r="H488" s="3">
        <f t="shared" si="86"/>
        <v>-8.0600000000000023</v>
      </c>
      <c r="I488" s="3">
        <v>75208.5</v>
      </c>
      <c r="J488" s="3" t="s">
        <v>1</v>
      </c>
      <c r="K488" s="3" t="s">
        <v>1</v>
      </c>
      <c r="L488" s="3" t="s">
        <v>1</v>
      </c>
      <c r="M488" s="4">
        <v>-3991.5</v>
      </c>
      <c r="N488" s="5">
        <v>0</v>
      </c>
      <c r="O488" t="str">
        <f t="shared" si="87"/>
        <v>BANKNIFTY</v>
      </c>
      <c r="P488" t="str">
        <f>IF(SEARCH("NIFTY",O488),RIGHT(A488,7),0)</f>
        <v>44500PE</v>
      </c>
      <c r="Q488">
        <f t="shared" ref="Q488:Q489" si="95">M488/C488</f>
        <v>-8.0636363636363644</v>
      </c>
      <c r="S488">
        <v>0</v>
      </c>
    </row>
    <row r="489" spans="1:19" x14ac:dyDescent="0.3">
      <c r="A489" s="1" t="s">
        <v>488</v>
      </c>
      <c r="B489" s="2">
        <v>45057</v>
      </c>
      <c r="C489" s="3">
        <v>1150</v>
      </c>
      <c r="D489" s="3">
        <v>50.84</v>
      </c>
      <c r="E489" s="3">
        <v>58470</v>
      </c>
      <c r="F489" s="3">
        <v>1150</v>
      </c>
      <c r="G489" s="3">
        <v>59.26</v>
      </c>
      <c r="H489" s="3">
        <f t="shared" si="86"/>
        <v>8.4199999999999946</v>
      </c>
      <c r="I489" s="3">
        <v>68153.75</v>
      </c>
      <c r="J489" s="3" t="s">
        <v>1</v>
      </c>
      <c r="K489" s="3" t="s">
        <v>1</v>
      </c>
      <c r="L489" s="3" t="s">
        <v>1</v>
      </c>
      <c r="M489" s="5">
        <v>9683.75</v>
      </c>
      <c r="N489" s="5">
        <v>0</v>
      </c>
      <c r="O489" t="str">
        <f t="shared" si="87"/>
        <v>BANKNIFTY</v>
      </c>
      <c r="P489" t="str">
        <f>IF(SEARCH("NIFTY",O489),RIGHT(A489,7),0)</f>
        <v>44000CE</v>
      </c>
      <c r="Q489">
        <f t="shared" si="95"/>
        <v>8.4206521739130427</v>
      </c>
      <c r="S489">
        <v>0</v>
      </c>
    </row>
    <row r="490" spans="1:19" hidden="1" x14ac:dyDescent="0.3">
      <c r="A490" s="1" t="s">
        <v>489</v>
      </c>
      <c r="B490" s="2">
        <v>45057</v>
      </c>
      <c r="C490" s="3">
        <v>17250</v>
      </c>
      <c r="D490" s="3">
        <v>51.68</v>
      </c>
      <c r="E490" s="3">
        <v>891510</v>
      </c>
      <c r="F490" s="3">
        <v>17250</v>
      </c>
      <c r="G490" s="3">
        <v>50.76</v>
      </c>
      <c r="H490" s="3">
        <f t="shared" si="86"/>
        <v>-0.92000000000000171</v>
      </c>
      <c r="I490" s="3">
        <v>875682.5</v>
      </c>
      <c r="J490" s="3" t="s">
        <v>1</v>
      </c>
      <c r="K490" s="3" t="s">
        <v>1</v>
      </c>
      <c r="L490" s="3" t="s">
        <v>1</v>
      </c>
      <c r="M490" s="4">
        <v>-15827.5</v>
      </c>
      <c r="N490" s="5">
        <v>0</v>
      </c>
      <c r="O490" t="str">
        <f t="shared" si="87"/>
        <v>NIFTY</v>
      </c>
      <c r="P490" t="str">
        <f>IF(SEARCH("NIFTY",O490),RIGHT(A490,7),0)</f>
        <v>18300PE</v>
      </c>
      <c r="S490">
        <v>0</v>
      </c>
    </row>
    <row r="491" spans="1:19" hidden="1" x14ac:dyDescent="0.3">
      <c r="A491" s="1" t="s">
        <v>490</v>
      </c>
      <c r="B491" s="2">
        <v>45167</v>
      </c>
      <c r="C491" s="3">
        <v>7800</v>
      </c>
      <c r="D491" s="3">
        <v>4.62</v>
      </c>
      <c r="E491" s="3">
        <v>36026</v>
      </c>
      <c r="F491" s="3">
        <v>7800</v>
      </c>
      <c r="G491" s="3">
        <v>7.27</v>
      </c>
      <c r="H491" s="3">
        <f t="shared" si="86"/>
        <v>2.6499999999999995</v>
      </c>
      <c r="I491" s="3">
        <v>56736</v>
      </c>
      <c r="J491" s="3" t="s">
        <v>1</v>
      </c>
      <c r="K491" s="3" t="s">
        <v>1</v>
      </c>
      <c r="L491" s="3" t="s">
        <v>1</v>
      </c>
      <c r="M491" s="5">
        <v>20710</v>
      </c>
      <c r="N491" s="5">
        <v>0</v>
      </c>
      <c r="O491" t="str">
        <f t="shared" si="87"/>
        <v>FINNIFTY</v>
      </c>
      <c r="P491" t="str">
        <f>IF(SEARCH("NIFTY",O491),RIGHT(A491,7),0)</f>
        <v>19850CE</v>
      </c>
      <c r="S491">
        <v>0</v>
      </c>
    </row>
    <row r="492" spans="1:19" x14ac:dyDescent="0.3">
      <c r="A492" s="1" t="s">
        <v>491</v>
      </c>
      <c r="B492" s="2">
        <v>45162</v>
      </c>
      <c r="C492" s="3">
        <v>1530</v>
      </c>
      <c r="D492" s="3">
        <v>11.56</v>
      </c>
      <c r="E492" s="3">
        <v>17693.25</v>
      </c>
      <c r="F492" s="3">
        <v>1530</v>
      </c>
      <c r="G492" s="3">
        <v>14.47</v>
      </c>
      <c r="H492" s="3">
        <f t="shared" si="86"/>
        <v>2.91</v>
      </c>
      <c r="I492" s="3">
        <v>22135.5</v>
      </c>
      <c r="J492" s="3" t="s">
        <v>1</v>
      </c>
      <c r="K492" s="3" t="s">
        <v>1</v>
      </c>
      <c r="L492" s="3" t="s">
        <v>1</v>
      </c>
      <c r="M492" s="5">
        <v>4442.25</v>
      </c>
      <c r="N492" s="5">
        <v>0</v>
      </c>
      <c r="O492" t="str">
        <f t="shared" si="87"/>
        <v>BANKNIFTY</v>
      </c>
      <c r="P492" t="str">
        <f>IF(SEARCH("NIFTY",O492),RIGHT(A492,7),0)</f>
        <v>44900CE</v>
      </c>
      <c r="Q492">
        <f t="shared" ref="Q492:Q493" si="96">M492/C492</f>
        <v>2.9034313725490195</v>
      </c>
      <c r="S492">
        <v>0</v>
      </c>
    </row>
    <row r="493" spans="1:19" x14ac:dyDescent="0.3">
      <c r="A493" s="1" t="s">
        <v>492</v>
      </c>
      <c r="B493" s="2">
        <v>45050</v>
      </c>
      <c r="C493" s="3">
        <v>3000</v>
      </c>
      <c r="D493" s="3">
        <v>4.2</v>
      </c>
      <c r="E493" s="3">
        <v>12588.75</v>
      </c>
      <c r="F493" s="3">
        <v>3000</v>
      </c>
      <c r="G493" s="3">
        <v>6.14</v>
      </c>
      <c r="H493" s="3">
        <f t="shared" si="86"/>
        <v>1.9399999999999995</v>
      </c>
      <c r="I493" s="3">
        <v>18420</v>
      </c>
      <c r="J493" s="3" t="s">
        <v>1</v>
      </c>
      <c r="K493" s="3" t="s">
        <v>1</v>
      </c>
      <c r="L493" s="3" t="s">
        <v>1</v>
      </c>
      <c r="M493" s="5">
        <v>5831.25</v>
      </c>
      <c r="N493" s="5">
        <v>0</v>
      </c>
      <c r="O493" t="str">
        <f t="shared" si="87"/>
        <v>BANKNIFTY</v>
      </c>
      <c r="P493" t="str">
        <f>IF(SEARCH("NIFTY",O493),RIGHT(A493,7),0)</f>
        <v>43400PE</v>
      </c>
      <c r="Q493">
        <f t="shared" si="96"/>
        <v>1.9437500000000001</v>
      </c>
      <c r="S493">
        <v>0</v>
      </c>
    </row>
    <row r="494" spans="1:19" hidden="1" x14ac:dyDescent="0.3">
      <c r="A494" s="1" t="s">
        <v>493</v>
      </c>
      <c r="B494" s="2">
        <v>45155</v>
      </c>
      <c r="C494" s="3">
        <v>2000</v>
      </c>
      <c r="D494" s="3">
        <v>255</v>
      </c>
      <c r="E494" s="3">
        <v>510000</v>
      </c>
      <c r="F494" s="3">
        <v>2000</v>
      </c>
      <c r="G494" s="3">
        <v>272.35000000000002</v>
      </c>
      <c r="H494" s="3">
        <f t="shared" si="86"/>
        <v>17.350000000000023</v>
      </c>
      <c r="I494" s="3">
        <v>544707.5</v>
      </c>
      <c r="J494" s="3" t="s">
        <v>1</v>
      </c>
      <c r="K494" s="3" t="s">
        <v>1</v>
      </c>
      <c r="L494" s="3" t="s">
        <v>1</v>
      </c>
      <c r="M494" s="5">
        <v>34707.5</v>
      </c>
      <c r="N494" s="5">
        <v>0</v>
      </c>
      <c r="O494" t="str">
        <f t="shared" si="87"/>
        <v>NIFTY</v>
      </c>
      <c r="P494" t="str">
        <f>IF(SEARCH("NIFTY",O494),RIGHT(A494,7),0)</f>
        <v>19800PE</v>
      </c>
      <c r="S494">
        <v>0</v>
      </c>
    </row>
    <row r="495" spans="1:19" x14ac:dyDescent="0.3">
      <c r="A495" s="1" t="s">
        <v>494</v>
      </c>
      <c r="B495" s="2">
        <v>45078</v>
      </c>
      <c r="C495" s="3">
        <v>1700</v>
      </c>
      <c r="D495" s="3">
        <v>36.08</v>
      </c>
      <c r="E495" s="3">
        <v>61330</v>
      </c>
      <c r="F495" s="3">
        <v>1700</v>
      </c>
      <c r="G495" s="3">
        <v>36.15</v>
      </c>
      <c r="H495" s="3">
        <f t="shared" si="86"/>
        <v>7.0000000000000284E-2</v>
      </c>
      <c r="I495" s="3">
        <v>61458.75</v>
      </c>
      <c r="J495" s="3" t="s">
        <v>1</v>
      </c>
      <c r="K495" s="3" t="s">
        <v>1</v>
      </c>
      <c r="L495" s="3" t="s">
        <v>1</v>
      </c>
      <c r="M495" s="5">
        <v>128.75</v>
      </c>
      <c r="N495" s="5">
        <v>0</v>
      </c>
      <c r="O495" t="str">
        <f t="shared" si="87"/>
        <v>BANKNIFTY</v>
      </c>
      <c r="P495" t="str">
        <f>IF(SEARCH("NIFTY",O495),RIGHT(A495,7),0)</f>
        <v>43500PE</v>
      </c>
      <c r="Q495">
        <f t="shared" ref="Q495:Q496" si="97">M495/C495</f>
        <v>7.5735294117647053E-2</v>
      </c>
      <c r="S495">
        <v>0</v>
      </c>
    </row>
    <row r="496" spans="1:19" x14ac:dyDescent="0.3">
      <c r="A496" s="1" t="s">
        <v>495</v>
      </c>
      <c r="B496" s="2">
        <v>45092</v>
      </c>
      <c r="C496" s="3">
        <v>1300</v>
      </c>
      <c r="D496" s="3">
        <v>37.380000000000003</v>
      </c>
      <c r="E496" s="3">
        <v>48597.5</v>
      </c>
      <c r="F496" s="3">
        <v>1300</v>
      </c>
      <c r="G496" s="3">
        <v>37.83</v>
      </c>
      <c r="H496" s="3">
        <f t="shared" si="86"/>
        <v>0.44999999999999574</v>
      </c>
      <c r="I496" s="3">
        <v>49172.5</v>
      </c>
      <c r="J496" s="3" t="s">
        <v>1</v>
      </c>
      <c r="K496" s="3" t="s">
        <v>1</v>
      </c>
      <c r="L496" s="3" t="s">
        <v>1</v>
      </c>
      <c r="M496" s="5">
        <v>575</v>
      </c>
      <c r="N496" s="5">
        <v>0</v>
      </c>
      <c r="O496" t="str">
        <f t="shared" si="87"/>
        <v>BANKNIFTY</v>
      </c>
      <c r="P496" t="str">
        <f>IF(SEARCH("NIFTY",O496),RIGHT(A496,7),0)</f>
        <v>43400PE</v>
      </c>
      <c r="Q496">
        <f t="shared" si="97"/>
        <v>0.44230769230769229</v>
      </c>
      <c r="S496">
        <v>0</v>
      </c>
    </row>
    <row r="497" spans="1:19" hidden="1" x14ac:dyDescent="0.3">
      <c r="A497" s="1" t="s">
        <v>496</v>
      </c>
      <c r="B497" s="2">
        <v>45055</v>
      </c>
      <c r="C497" s="3">
        <v>1600</v>
      </c>
      <c r="D497" s="3">
        <v>1.65</v>
      </c>
      <c r="E497" s="3">
        <v>2640</v>
      </c>
      <c r="F497" s="3">
        <v>1600</v>
      </c>
      <c r="G497" s="3">
        <v>1.8</v>
      </c>
      <c r="H497" s="3">
        <f t="shared" si="86"/>
        <v>0.15000000000000013</v>
      </c>
      <c r="I497" s="3">
        <v>2880</v>
      </c>
      <c r="J497" s="3" t="s">
        <v>1</v>
      </c>
      <c r="K497" s="3" t="s">
        <v>1</v>
      </c>
      <c r="L497" s="3" t="s">
        <v>1</v>
      </c>
      <c r="M497" s="5">
        <v>240</v>
      </c>
      <c r="N497" s="5">
        <v>0</v>
      </c>
      <c r="O497" t="str">
        <f t="shared" si="87"/>
        <v>FINNIFTY</v>
      </c>
      <c r="P497" t="str">
        <f>IF(SEARCH("NIFTY",O497),RIGHT(A497,7),0)</f>
        <v>19200PE</v>
      </c>
      <c r="S497">
        <v>0</v>
      </c>
    </row>
    <row r="498" spans="1:19" x14ac:dyDescent="0.3">
      <c r="A498" s="1" t="s">
        <v>497</v>
      </c>
      <c r="B498" s="2">
        <v>45092</v>
      </c>
      <c r="C498" s="3">
        <v>500</v>
      </c>
      <c r="D498" s="3">
        <v>78.38</v>
      </c>
      <c r="E498" s="3">
        <v>39191.25</v>
      </c>
      <c r="F498" s="3">
        <v>500</v>
      </c>
      <c r="G498" s="3">
        <v>66.02</v>
      </c>
      <c r="H498" s="3">
        <f t="shared" si="86"/>
        <v>-12.36</v>
      </c>
      <c r="I498" s="3">
        <v>33011.25</v>
      </c>
      <c r="J498" s="3" t="s">
        <v>1</v>
      </c>
      <c r="K498" s="3" t="s">
        <v>1</v>
      </c>
      <c r="L498" s="3" t="s">
        <v>1</v>
      </c>
      <c r="M498" s="4">
        <v>-6180</v>
      </c>
      <c r="N498" s="5">
        <v>0</v>
      </c>
      <c r="O498" t="str">
        <f t="shared" si="87"/>
        <v>BANKNIFTY</v>
      </c>
      <c r="P498" t="str">
        <f>IF(SEARCH("NIFTY",O498),RIGHT(A498,7),0)</f>
        <v>43900PE</v>
      </c>
      <c r="Q498">
        <f>M498/C498</f>
        <v>-12.36</v>
      </c>
      <c r="S498">
        <v>0</v>
      </c>
    </row>
    <row r="499" spans="1:19" hidden="1" x14ac:dyDescent="0.3">
      <c r="A499" s="1" t="s">
        <v>498</v>
      </c>
      <c r="B499" s="2">
        <v>45132</v>
      </c>
      <c r="C499" s="3">
        <v>280</v>
      </c>
      <c r="D499" s="3">
        <v>4.8</v>
      </c>
      <c r="E499" s="3">
        <v>1344</v>
      </c>
      <c r="F499" s="3">
        <v>280</v>
      </c>
      <c r="G499" s="3">
        <v>1.6</v>
      </c>
      <c r="H499" s="3">
        <f t="shared" si="86"/>
        <v>-3.1999999999999997</v>
      </c>
      <c r="I499" s="3">
        <v>448</v>
      </c>
      <c r="J499" s="3" t="s">
        <v>1</v>
      </c>
      <c r="K499" s="3" t="s">
        <v>1</v>
      </c>
      <c r="L499" s="3" t="s">
        <v>1</v>
      </c>
      <c r="M499" s="4">
        <v>-896</v>
      </c>
      <c r="N499" s="5">
        <v>0</v>
      </c>
      <c r="O499" t="str">
        <f t="shared" si="87"/>
        <v>FINNIFTY</v>
      </c>
      <c r="P499" t="str">
        <f>IF(SEARCH("NIFTY",O499),RIGHT(A499,7),0)</f>
        <v>20800CE</v>
      </c>
      <c r="S499">
        <v>0</v>
      </c>
    </row>
    <row r="500" spans="1:19" x14ac:dyDescent="0.3">
      <c r="A500" s="1" t="s">
        <v>499</v>
      </c>
      <c r="B500" s="2">
        <v>45162</v>
      </c>
      <c r="C500" s="3">
        <v>1530</v>
      </c>
      <c r="D500" s="3">
        <v>37.979999999999997</v>
      </c>
      <c r="E500" s="3">
        <v>58108.5</v>
      </c>
      <c r="F500" s="3">
        <v>1530</v>
      </c>
      <c r="G500" s="3">
        <v>37.159999999999997</v>
      </c>
      <c r="H500" s="3">
        <f t="shared" si="86"/>
        <v>-0.82000000000000028</v>
      </c>
      <c r="I500" s="3">
        <v>56850</v>
      </c>
      <c r="J500" s="3" t="s">
        <v>1</v>
      </c>
      <c r="K500" s="3" t="s">
        <v>1</v>
      </c>
      <c r="L500" s="3" t="s">
        <v>1</v>
      </c>
      <c r="M500" s="4">
        <v>-1258.5</v>
      </c>
      <c r="N500" s="5">
        <v>0</v>
      </c>
      <c r="O500" t="str">
        <f t="shared" si="87"/>
        <v>BANKNIFTY</v>
      </c>
      <c r="P500" t="str">
        <f>IF(SEARCH("NIFTY",O500),RIGHT(A500,7),0)</f>
        <v>44500CE</v>
      </c>
      <c r="Q500">
        <f t="shared" ref="Q500:Q501" si="98">M500/C500</f>
        <v>-0.8225490196078431</v>
      </c>
      <c r="S500">
        <v>0</v>
      </c>
    </row>
    <row r="501" spans="1:19" x14ac:dyDescent="0.3">
      <c r="A501" s="1" t="s">
        <v>500</v>
      </c>
      <c r="B501" s="2">
        <v>45092</v>
      </c>
      <c r="C501" s="3">
        <v>1400</v>
      </c>
      <c r="D501" s="3">
        <v>33.14</v>
      </c>
      <c r="E501" s="3">
        <v>46392.5</v>
      </c>
      <c r="F501" s="3">
        <v>1400</v>
      </c>
      <c r="G501" s="3">
        <v>35.96</v>
      </c>
      <c r="H501" s="3">
        <f t="shared" si="86"/>
        <v>2.8200000000000003</v>
      </c>
      <c r="I501" s="3">
        <v>50341.25</v>
      </c>
      <c r="J501" s="3" t="s">
        <v>1</v>
      </c>
      <c r="K501" s="3" t="s">
        <v>1</v>
      </c>
      <c r="L501" s="3" t="s">
        <v>1</v>
      </c>
      <c r="M501" s="5">
        <v>3948.75</v>
      </c>
      <c r="N501" s="5">
        <v>0</v>
      </c>
      <c r="O501" t="str">
        <f t="shared" si="87"/>
        <v>BANKNIFTY</v>
      </c>
      <c r="P501" t="str">
        <f>IF(SEARCH("NIFTY",O501),RIGHT(A501,7),0)</f>
        <v>44900CE</v>
      </c>
      <c r="Q501">
        <f t="shared" si="98"/>
        <v>2.8205357142857141</v>
      </c>
      <c r="S501">
        <v>0</v>
      </c>
    </row>
    <row r="502" spans="1:19" hidden="1" x14ac:dyDescent="0.3">
      <c r="A502" s="1" t="s">
        <v>501</v>
      </c>
      <c r="B502" s="2">
        <v>45092</v>
      </c>
      <c r="C502" s="3">
        <v>4500</v>
      </c>
      <c r="D502" s="3">
        <v>2.35</v>
      </c>
      <c r="E502" s="3">
        <v>10575</v>
      </c>
      <c r="F502" s="3">
        <v>4500</v>
      </c>
      <c r="G502" s="3">
        <v>2.7</v>
      </c>
      <c r="H502" s="3">
        <f t="shared" si="86"/>
        <v>0.35000000000000009</v>
      </c>
      <c r="I502" s="3">
        <v>12150</v>
      </c>
      <c r="J502" s="3" t="s">
        <v>1</v>
      </c>
      <c r="K502" s="3" t="s">
        <v>1</v>
      </c>
      <c r="L502" s="3" t="s">
        <v>1</v>
      </c>
      <c r="M502" s="5">
        <v>1575</v>
      </c>
      <c r="N502" s="5">
        <v>0</v>
      </c>
      <c r="O502" t="str">
        <f t="shared" si="87"/>
        <v>NIFTY</v>
      </c>
      <c r="P502" t="str">
        <f>IF(SEARCH("NIFTY",O502),RIGHT(A502,7),0)</f>
        <v>18600PE</v>
      </c>
      <c r="S502">
        <v>0</v>
      </c>
    </row>
    <row r="503" spans="1:19" x14ac:dyDescent="0.3">
      <c r="A503" s="1" t="s">
        <v>502</v>
      </c>
      <c r="B503" s="2">
        <v>45169</v>
      </c>
      <c r="C503" s="3">
        <v>450</v>
      </c>
      <c r="D503" s="3">
        <v>435.18</v>
      </c>
      <c r="E503" s="3">
        <v>195830.25</v>
      </c>
      <c r="F503" s="3">
        <v>450</v>
      </c>
      <c r="G503" s="3">
        <v>482</v>
      </c>
      <c r="H503" s="3">
        <f t="shared" si="86"/>
        <v>46.819999999999993</v>
      </c>
      <c r="I503" s="3">
        <v>216900</v>
      </c>
      <c r="J503" s="3" t="s">
        <v>1</v>
      </c>
      <c r="K503" s="3" t="s">
        <v>1</v>
      </c>
      <c r="L503" s="3" t="s">
        <v>1</v>
      </c>
      <c r="M503" s="5">
        <v>21069.75</v>
      </c>
      <c r="N503" s="5">
        <v>0</v>
      </c>
      <c r="O503" t="str">
        <f t="shared" si="87"/>
        <v>BANKNIFTY</v>
      </c>
      <c r="P503" t="str">
        <f>IF(SEARCH("NIFTY",O503),RIGHT(A503,7),0)</f>
        <v>44000CE</v>
      </c>
      <c r="Q503">
        <f t="shared" ref="Q503:Q505" si="99">M503/C503</f>
        <v>46.821666666666665</v>
      </c>
      <c r="S503">
        <v>0</v>
      </c>
    </row>
    <row r="504" spans="1:19" x14ac:dyDescent="0.3">
      <c r="A504" s="1" t="s">
        <v>503</v>
      </c>
      <c r="B504" s="2">
        <v>45085</v>
      </c>
      <c r="C504" s="3">
        <v>4300</v>
      </c>
      <c r="D504" s="3">
        <v>21.47</v>
      </c>
      <c r="E504" s="3">
        <v>92312.5</v>
      </c>
      <c r="F504" s="3">
        <v>4300</v>
      </c>
      <c r="G504" s="3">
        <v>25.85</v>
      </c>
      <c r="H504" s="3">
        <f t="shared" si="86"/>
        <v>4.3800000000000026</v>
      </c>
      <c r="I504" s="3">
        <v>111165</v>
      </c>
      <c r="J504" s="3" t="s">
        <v>1</v>
      </c>
      <c r="K504" s="3" t="s">
        <v>1</v>
      </c>
      <c r="L504" s="3" t="s">
        <v>1</v>
      </c>
      <c r="M504" s="5">
        <v>18852.5</v>
      </c>
      <c r="N504" s="5">
        <v>0</v>
      </c>
      <c r="O504" t="str">
        <f t="shared" si="87"/>
        <v>BANKNIFTY</v>
      </c>
      <c r="P504" t="str">
        <f>IF(SEARCH("NIFTY",O504),RIGHT(A504,7),0)</f>
        <v>44600CE</v>
      </c>
      <c r="Q504">
        <f t="shared" si="99"/>
        <v>4.3843023255813955</v>
      </c>
      <c r="S504">
        <v>0</v>
      </c>
    </row>
    <row r="505" spans="1:19" x14ac:dyDescent="0.3">
      <c r="A505" s="1" t="s">
        <v>504</v>
      </c>
      <c r="B505" s="2">
        <v>45120</v>
      </c>
      <c r="C505" s="3">
        <v>2025</v>
      </c>
      <c r="D505" s="3">
        <v>40.83</v>
      </c>
      <c r="E505" s="3">
        <v>82685</v>
      </c>
      <c r="F505" s="3">
        <v>2025</v>
      </c>
      <c r="G505" s="3">
        <v>40.57</v>
      </c>
      <c r="H505" s="3">
        <f t="shared" si="86"/>
        <v>-0.25999999999999801</v>
      </c>
      <c r="I505" s="3">
        <v>82146.25</v>
      </c>
      <c r="J505" s="3" t="s">
        <v>1</v>
      </c>
      <c r="K505" s="3" t="s">
        <v>1</v>
      </c>
      <c r="L505" s="3" t="s">
        <v>1</v>
      </c>
      <c r="M505" s="4">
        <v>-538.75</v>
      </c>
      <c r="N505" s="5">
        <v>0</v>
      </c>
      <c r="O505" t="str">
        <f t="shared" si="87"/>
        <v>BANKNIFTY</v>
      </c>
      <c r="P505" t="str">
        <f>IF(SEARCH("NIFTY",O505),RIGHT(A505,7),0)</f>
        <v>46000CE</v>
      </c>
      <c r="Q505">
        <f t="shared" si="99"/>
        <v>-0.26604938271604939</v>
      </c>
      <c r="S505">
        <v>0</v>
      </c>
    </row>
    <row r="506" spans="1:19" hidden="1" x14ac:dyDescent="0.3">
      <c r="A506" s="1" t="s">
        <v>505</v>
      </c>
      <c r="B506" s="2">
        <v>45160</v>
      </c>
      <c r="C506" s="3">
        <v>3000</v>
      </c>
      <c r="D506" s="3">
        <v>3.6</v>
      </c>
      <c r="E506" s="3">
        <v>10800</v>
      </c>
      <c r="F506" s="3">
        <v>3000</v>
      </c>
      <c r="G506" s="3">
        <v>0.1</v>
      </c>
      <c r="H506" s="3">
        <f t="shared" si="86"/>
        <v>-3.5</v>
      </c>
      <c r="I506" s="3">
        <v>300</v>
      </c>
      <c r="J506" s="3" t="s">
        <v>1</v>
      </c>
      <c r="K506" s="3" t="s">
        <v>1</v>
      </c>
      <c r="L506" s="3" t="s">
        <v>1</v>
      </c>
      <c r="M506" s="4">
        <v>-10500</v>
      </c>
      <c r="N506" s="5">
        <v>0</v>
      </c>
      <c r="O506" t="str">
        <f t="shared" si="87"/>
        <v>FINNIFTY</v>
      </c>
      <c r="P506" t="str">
        <f>IF(SEARCH("NIFTY",O506),RIGHT(A506,7),0)</f>
        <v>19500PE</v>
      </c>
      <c r="S506">
        <v>0</v>
      </c>
    </row>
    <row r="507" spans="1:19" x14ac:dyDescent="0.3">
      <c r="A507" s="1" t="s">
        <v>506</v>
      </c>
      <c r="B507" s="2">
        <v>45099</v>
      </c>
      <c r="C507" s="3">
        <v>950</v>
      </c>
      <c r="D507" s="3">
        <v>66.040000000000006</v>
      </c>
      <c r="E507" s="3">
        <v>62737.5</v>
      </c>
      <c r="F507" s="3">
        <v>950</v>
      </c>
      <c r="G507" s="3">
        <v>64.42</v>
      </c>
      <c r="H507" s="3">
        <f t="shared" si="86"/>
        <v>-1.6200000000000045</v>
      </c>
      <c r="I507" s="3">
        <v>61195</v>
      </c>
      <c r="J507" s="3" t="s">
        <v>1</v>
      </c>
      <c r="K507" s="3" t="s">
        <v>1</v>
      </c>
      <c r="L507" s="3" t="s">
        <v>1</v>
      </c>
      <c r="M507" s="4">
        <v>-1542.5</v>
      </c>
      <c r="N507" s="5">
        <v>0</v>
      </c>
      <c r="O507" t="str">
        <f t="shared" si="87"/>
        <v>BANKNIFTY</v>
      </c>
      <c r="P507" t="str">
        <f>IF(SEARCH("NIFTY",O507),RIGHT(A507,7),0)</f>
        <v>44000CE</v>
      </c>
      <c r="Q507">
        <f t="shared" ref="Q507:Q509" si="100">M507/C507</f>
        <v>-1.6236842105263158</v>
      </c>
      <c r="S507">
        <v>0</v>
      </c>
    </row>
    <row r="508" spans="1:19" x14ac:dyDescent="0.3">
      <c r="A508" s="1" t="s">
        <v>507</v>
      </c>
      <c r="B508" s="2">
        <v>45113</v>
      </c>
      <c r="C508" s="3">
        <v>1150</v>
      </c>
      <c r="D508" s="3">
        <v>74.53</v>
      </c>
      <c r="E508" s="3">
        <v>85713.75</v>
      </c>
      <c r="F508" s="3">
        <v>1150</v>
      </c>
      <c r="G508" s="3">
        <v>81.540000000000006</v>
      </c>
      <c r="H508" s="3">
        <f t="shared" si="86"/>
        <v>7.0100000000000051</v>
      </c>
      <c r="I508" s="3">
        <v>93772.5</v>
      </c>
      <c r="J508" s="3" t="s">
        <v>1</v>
      </c>
      <c r="K508" s="3" t="s">
        <v>1</v>
      </c>
      <c r="L508" s="3" t="s">
        <v>1</v>
      </c>
      <c r="M508" s="5">
        <v>8058.75</v>
      </c>
      <c r="N508" s="5">
        <v>0</v>
      </c>
      <c r="O508" t="str">
        <f t="shared" si="87"/>
        <v>BANKNIFTY</v>
      </c>
      <c r="P508" t="str">
        <f>IF(SEARCH("NIFTY",O508),RIGHT(A508,7),0)</f>
        <v>44600PE</v>
      </c>
      <c r="Q508">
        <f t="shared" si="100"/>
        <v>7.0076086956521735</v>
      </c>
      <c r="S508">
        <v>0</v>
      </c>
    </row>
    <row r="509" spans="1:19" x14ac:dyDescent="0.3">
      <c r="A509" s="1" t="s">
        <v>508</v>
      </c>
      <c r="B509" s="2">
        <v>45064</v>
      </c>
      <c r="C509" s="3">
        <v>650</v>
      </c>
      <c r="D509" s="3">
        <v>35.15</v>
      </c>
      <c r="E509" s="3">
        <v>22847.5</v>
      </c>
      <c r="F509" s="3">
        <v>650</v>
      </c>
      <c r="G509" s="3">
        <v>39.450000000000003</v>
      </c>
      <c r="H509" s="3">
        <f t="shared" si="86"/>
        <v>4.3000000000000043</v>
      </c>
      <c r="I509" s="3">
        <v>25642.5</v>
      </c>
      <c r="J509" s="3" t="s">
        <v>1</v>
      </c>
      <c r="K509" s="3" t="s">
        <v>1</v>
      </c>
      <c r="L509" s="3" t="s">
        <v>1</v>
      </c>
      <c r="M509" s="5">
        <v>2795</v>
      </c>
      <c r="N509" s="5">
        <v>0</v>
      </c>
      <c r="O509" t="str">
        <f t="shared" si="87"/>
        <v>BANKNIFTY</v>
      </c>
      <c r="P509" t="str">
        <f>IF(SEARCH("NIFTY",O509),RIGHT(A509,7),0)</f>
        <v>42400PE</v>
      </c>
      <c r="Q509">
        <f t="shared" si="100"/>
        <v>4.3</v>
      </c>
      <c r="S509">
        <v>0</v>
      </c>
    </row>
    <row r="510" spans="1:19" hidden="1" x14ac:dyDescent="0.3">
      <c r="A510" s="1" t="s">
        <v>509</v>
      </c>
      <c r="B510" s="2">
        <v>45125</v>
      </c>
      <c r="C510" s="3">
        <v>200</v>
      </c>
      <c r="D510" s="3">
        <v>113.5</v>
      </c>
      <c r="E510" s="3">
        <v>22700</v>
      </c>
      <c r="F510" s="3">
        <v>200</v>
      </c>
      <c r="G510" s="3">
        <v>25.1</v>
      </c>
      <c r="H510" s="3">
        <f t="shared" si="86"/>
        <v>-88.4</v>
      </c>
      <c r="I510" s="3">
        <v>5020</v>
      </c>
      <c r="J510" s="3" t="s">
        <v>1</v>
      </c>
      <c r="K510" s="3" t="s">
        <v>1</v>
      </c>
      <c r="L510" s="3" t="s">
        <v>1</v>
      </c>
      <c r="M510" s="4">
        <v>-17680</v>
      </c>
      <c r="N510" s="5">
        <v>0</v>
      </c>
      <c r="O510" t="str">
        <f t="shared" si="87"/>
        <v>FINNIFTY</v>
      </c>
      <c r="P510" t="str">
        <f>IF(SEARCH("NIFTY",O510),RIGHT(A510,7),0)</f>
        <v>20300PE</v>
      </c>
      <c r="S510">
        <v>0</v>
      </c>
    </row>
    <row r="511" spans="1:19" x14ac:dyDescent="0.3">
      <c r="A511" s="1" t="s">
        <v>510</v>
      </c>
      <c r="B511" s="2">
        <v>45134</v>
      </c>
      <c r="C511" s="3">
        <v>450</v>
      </c>
      <c r="D511" s="3">
        <v>9.65</v>
      </c>
      <c r="E511" s="3">
        <v>4342.5</v>
      </c>
      <c r="F511" s="3">
        <v>450</v>
      </c>
      <c r="G511" s="3">
        <v>8.65</v>
      </c>
      <c r="H511" s="3">
        <f t="shared" si="86"/>
        <v>-1</v>
      </c>
      <c r="I511" s="3">
        <v>3892.5</v>
      </c>
      <c r="J511" s="3" t="s">
        <v>1</v>
      </c>
      <c r="K511" s="3" t="s">
        <v>1</v>
      </c>
      <c r="L511" s="3" t="s">
        <v>1</v>
      </c>
      <c r="M511" s="4">
        <v>-450</v>
      </c>
      <c r="N511" s="5">
        <v>0</v>
      </c>
      <c r="O511" t="str">
        <f t="shared" si="87"/>
        <v>BANKNIFTY</v>
      </c>
      <c r="P511" t="str">
        <f>IF(SEARCH("NIFTY",O511),RIGHT(A511,7),0)</f>
        <v>43600PE</v>
      </c>
      <c r="Q511">
        <f>M511/C511</f>
        <v>-1</v>
      </c>
      <c r="S511">
        <v>0</v>
      </c>
    </row>
    <row r="512" spans="1:19" hidden="1" x14ac:dyDescent="0.3">
      <c r="A512" s="1" t="s">
        <v>511</v>
      </c>
      <c r="B512" s="2">
        <v>45197</v>
      </c>
      <c r="C512" s="3">
        <v>150</v>
      </c>
      <c r="D512" s="3">
        <v>248.77</v>
      </c>
      <c r="E512" s="3">
        <v>37315</v>
      </c>
      <c r="F512" s="3">
        <v>150</v>
      </c>
      <c r="G512" s="3">
        <v>230.65</v>
      </c>
      <c r="H512" s="3">
        <f t="shared" si="86"/>
        <v>-18.120000000000005</v>
      </c>
      <c r="I512" s="3">
        <v>34597.5</v>
      </c>
      <c r="J512" s="3" t="s">
        <v>1</v>
      </c>
      <c r="K512" s="3" t="s">
        <v>1</v>
      </c>
      <c r="L512" s="3" t="s">
        <v>1</v>
      </c>
      <c r="M512" s="4">
        <v>-2717.5</v>
      </c>
      <c r="N512" s="5">
        <v>0</v>
      </c>
      <c r="O512" t="str">
        <f t="shared" si="87"/>
        <v>NIFTY</v>
      </c>
      <c r="P512" t="str">
        <f>IF(SEARCH("NIFTY",O512),RIGHT(A512,7),0)</f>
        <v>19500CE</v>
      </c>
      <c r="S512">
        <v>0</v>
      </c>
    </row>
    <row r="513" spans="1:19" x14ac:dyDescent="0.3">
      <c r="A513" s="1" t="s">
        <v>512</v>
      </c>
      <c r="B513" s="2">
        <v>45141</v>
      </c>
      <c r="C513" s="3">
        <v>1200</v>
      </c>
      <c r="D513" s="3">
        <v>47.99</v>
      </c>
      <c r="E513" s="3">
        <v>57587.25</v>
      </c>
      <c r="F513" s="3">
        <v>1200</v>
      </c>
      <c r="G513" s="3">
        <v>49.83</v>
      </c>
      <c r="H513" s="3">
        <f t="shared" si="86"/>
        <v>1.8399999999999963</v>
      </c>
      <c r="I513" s="3">
        <v>59790</v>
      </c>
      <c r="J513" s="3" t="s">
        <v>1</v>
      </c>
      <c r="K513" s="3" t="s">
        <v>1</v>
      </c>
      <c r="L513" s="3" t="s">
        <v>1</v>
      </c>
      <c r="M513" s="5">
        <v>2202.75</v>
      </c>
      <c r="N513" s="5">
        <v>0</v>
      </c>
      <c r="O513" t="str">
        <f t="shared" si="87"/>
        <v>BANKNIFTY</v>
      </c>
      <c r="P513" t="str">
        <f>IF(SEARCH("NIFTY",O513),RIGHT(A513,7),0)</f>
        <v>44500PE</v>
      </c>
      <c r="Q513">
        <f t="shared" ref="Q513:Q516" si="101">M513/C513</f>
        <v>1.8356250000000001</v>
      </c>
      <c r="S513">
        <v>0</v>
      </c>
    </row>
    <row r="514" spans="1:19" x14ac:dyDescent="0.3">
      <c r="A514" s="1" t="s">
        <v>513</v>
      </c>
      <c r="B514" s="2">
        <v>45099</v>
      </c>
      <c r="C514" s="3">
        <v>200</v>
      </c>
      <c r="D514" s="3">
        <v>29.7</v>
      </c>
      <c r="E514" s="3">
        <v>5940</v>
      </c>
      <c r="F514" s="3">
        <v>200</v>
      </c>
      <c r="G514" s="3">
        <v>24.2</v>
      </c>
      <c r="H514" s="3">
        <f t="shared" si="86"/>
        <v>-5.5</v>
      </c>
      <c r="I514" s="3">
        <v>4840</v>
      </c>
      <c r="J514" s="3" t="s">
        <v>1</v>
      </c>
      <c r="K514" s="3" t="s">
        <v>1</v>
      </c>
      <c r="L514" s="3" t="s">
        <v>1</v>
      </c>
      <c r="M514" s="4">
        <v>-1100</v>
      </c>
      <c r="N514" s="5">
        <v>0</v>
      </c>
      <c r="O514" t="str">
        <f t="shared" si="87"/>
        <v>BANKNIFTY</v>
      </c>
      <c r="P514" t="str">
        <f>IF(SEARCH("NIFTY",O514),RIGHT(A514,7),0)</f>
        <v>42800PE</v>
      </c>
      <c r="Q514">
        <f t="shared" si="101"/>
        <v>-5.5</v>
      </c>
      <c r="S514">
        <v>0</v>
      </c>
    </row>
    <row r="515" spans="1:19" x14ac:dyDescent="0.3">
      <c r="A515" s="1" t="s">
        <v>514</v>
      </c>
      <c r="B515" s="2">
        <v>45043</v>
      </c>
      <c r="C515" s="3">
        <v>2000</v>
      </c>
      <c r="D515" s="3">
        <v>31.46</v>
      </c>
      <c r="E515" s="3">
        <v>62910</v>
      </c>
      <c r="F515" s="3">
        <v>2000</v>
      </c>
      <c r="G515" s="3">
        <v>34.99</v>
      </c>
      <c r="H515" s="3">
        <f t="shared" ref="H515:H578" si="102">G515-D515</f>
        <v>3.5300000000000011</v>
      </c>
      <c r="I515" s="3">
        <v>69987.5</v>
      </c>
      <c r="J515" s="3" t="s">
        <v>1</v>
      </c>
      <c r="K515" s="3" t="s">
        <v>1</v>
      </c>
      <c r="L515" s="3" t="s">
        <v>1</v>
      </c>
      <c r="M515" s="5">
        <v>7077.5</v>
      </c>
      <c r="N515" s="5">
        <v>0</v>
      </c>
      <c r="O515" t="str">
        <f t="shared" ref="O515:O578" si="103">LEFT(A515, FIND("NIFTY", A515) +4)</f>
        <v>BANKNIFTY</v>
      </c>
      <c r="P515" t="str">
        <f>IF(SEARCH("NIFTY",O515),RIGHT(A515,7),0)</f>
        <v>42200PE</v>
      </c>
      <c r="Q515">
        <f t="shared" si="101"/>
        <v>3.5387499999999998</v>
      </c>
      <c r="S515">
        <v>0</v>
      </c>
    </row>
    <row r="516" spans="1:19" x14ac:dyDescent="0.3">
      <c r="A516" s="1" t="s">
        <v>515</v>
      </c>
      <c r="B516" s="2">
        <v>45071</v>
      </c>
      <c r="C516" s="3">
        <v>1400</v>
      </c>
      <c r="D516" s="3">
        <v>3.91</v>
      </c>
      <c r="E516" s="3">
        <v>5468.75</v>
      </c>
      <c r="F516" s="3">
        <v>1400</v>
      </c>
      <c r="G516" s="3">
        <v>2.74</v>
      </c>
      <c r="H516" s="3">
        <f t="shared" si="102"/>
        <v>-1.17</v>
      </c>
      <c r="I516" s="3">
        <v>3840</v>
      </c>
      <c r="J516" s="3" t="s">
        <v>1</v>
      </c>
      <c r="K516" s="3" t="s">
        <v>1</v>
      </c>
      <c r="L516" s="3" t="s">
        <v>1</v>
      </c>
      <c r="M516" s="4">
        <v>-1628.75</v>
      </c>
      <c r="N516" s="5">
        <v>0</v>
      </c>
      <c r="O516" t="str">
        <f t="shared" si="103"/>
        <v>BANKNIFTY</v>
      </c>
      <c r="P516" t="str">
        <f>IF(SEARCH("NIFTY",O516),RIGHT(A516,7),0)</f>
        <v>45500CE</v>
      </c>
      <c r="Q516">
        <f t="shared" si="101"/>
        <v>-1.1633928571428571</v>
      </c>
      <c r="S516">
        <v>0</v>
      </c>
    </row>
    <row r="517" spans="1:19" hidden="1" x14ac:dyDescent="0.3">
      <c r="A517" s="1" t="s">
        <v>516</v>
      </c>
      <c r="B517" s="2">
        <v>45092</v>
      </c>
      <c r="C517" s="3">
        <v>2500</v>
      </c>
      <c r="D517" s="3">
        <v>1.81</v>
      </c>
      <c r="E517" s="3">
        <v>4525</v>
      </c>
      <c r="F517" s="3">
        <v>2500</v>
      </c>
      <c r="G517" s="3">
        <v>1.6</v>
      </c>
      <c r="H517" s="3">
        <f t="shared" si="102"/>
        <v>-0.20999999999999996</v>
      </c>
      <c r="I517" s="3">
        <v>4000</v>
      </c>
      <c r="J517" s="3" t="s">
        <v>1</v>
      </c>
      <c r="K517" s="3" t="s">
        <v>1</v>
      </c>
      <c r="L517" s="3" t="s">
        <v>1</v>
      </c>
      <c r="M517" s="4">
        <v>-525</v>
      </c>
      <c r="N517" s="5">
        <v>0</v>
      </c>
      <c r="O517" t="str">
        <f t="shared" si="103"/>
        <v>NIFTY</v>
      </c>
      <c r="P517" t="str">
        <f>IF(SEARCH("NIFTY",O517),RIGHT(A517,7),0)</f>
        <v>18550PE</v>
      </c>
      <c r="S517">
        <v>0</v>
      </c>
    </row>
    <row r="518" spans="1:19" x14ac:dyDescent="0.3">
      <c r="A518" s="1" t="s">
        <v>517</v>
      </c>
      <c r="B518" s="2">
        <v>45113</v>
      </c>
      <c r="C518" s="3">
        <v>1150</v>
      </c>
      <c r="D518" s="3">
        <v>106.8</v>
      </c>
      <c r="E518" s="3">
        <v>122815</v>
      </c>
      <c r="F518" s="3">
        <v>1150</v>
      </c>
      <c r="G518" s="3">
        <v>103.94</v>
      </c>
      <c r="H518" s="3">
        <f t="shared" si="102"/>
        <v>-2.8599999999999994</v>
      </c>
      <c r="I518" s="3">
        <v>119527.5</v>
      </c>
      <c r="J518" s="3" t="s">
        <v>1</v>
      </c>
      <c r="K518" s="3" t="s">
        <v>1</v>
      </c>
      <c r="L518" s="3" t="s">
        <v>1</v>
      </c>
      <c r="M518" s="4">
        <v>-3287.5</v>
      </c>
      <c r="N518" s="5">
        <v>0</v>
      </c>
      <c r="O518" t="str">
        <f t="shared" si="103"/>
        <v>BANKNIFTY</v>
      </c>
      <c r="P518" t="str">
        <f>IF(SEARCH("NIFTY",O518),RIGHT(A518,7),0)</f>
        <v>45100CE</v>
      </c>
      <c r="Q518">
        <f t="shared" ref="Q518:Q520" si="104">M518/C518</f>
        <v>-2.8586956521739131</v>
      </c>
      <c r="S518">
        <v>0</v>
      </c>
    </row>
    <row r="519" spans="1:19" x14ac:dyDescent="0.3">
      <c r="A519" s="1" t="s">
        <v>518</v>
      </c>
      <c r="B519" s="2">
        <v>45162</v>
      </c>
      <c r="C519" s="3">
        <v>540</v>
      </c>
      <c r="D519" s="3">
        <v>39.840000000000003</v>
      </c>
      <c r="E519" s="3">
        <v>21515.25</v>
      </c>
      <c r="F519" s="3">
        <v>540</v>
      </c>
      <c r="G519" s="3">
        <v>73.5</v>
      </c>
      <c r="H519" s="3">
        <f t="shared" si="102"/>
        <v>33.659999999999997</v>
      </c>
      <c r="I519" s="3">
        <v>39690</v>
      </c>
      <c r="J519" s="3" t="s">
        <v>1</v>
      </c>
      <c r="K519" s="3" t="s">
        <v>1</v>
      </c>
      <c r="L519" s="3" t="s">
        <v>1</v>
      </c>
      <c r="M519" s="5">
        <v>18174.75</v>
      </c>
      <c r="N519" s="5">
        <v>0</v>
      </c>
      <c r="O519" t="str">
        <f t="shared" si="103"/>
        <v>BANKNIFTY</v>
      </c>
      <c r="P519" t="str">
        <f>IF(SEARCH("NIFTY",O519),RIGHT(A519,7),0)</f>
        <v>43800PE</v>
      </c>
      <c r="Q519">
        <f t="shared" si="104"/>
        <v>33.656944444444441</v>
      </c>
      <c r="S519">
        <v>0</v>
      </c>
    </row>
    <row r="520" spans="1:19" x14ac:dyDescent="0.3">
      <c r="A520" s="1" t="s">
        <v>519</v>
      </c>
      <c r="B520" s="2">
        <v>45085</v>
      </c>
      <c r="C520" s="3">
        <v>1500</v>
      </c>
      <c r="D520" s="3">
        <v>27.53</v>
      </c>
      <c r="E520" s="3">
        <v>41301.25</v>
      </c>
      <c r="F520" s="3">
        <v>1500</v>
      </c>
      <c r="G520" s="3">
        <v>32.31</v>
      </c>
      <c r="H520" s="3">
        <f t="shared" si="102"/>
        <v>4.7800000000000011</v>
      </c>
      <c r="I520" s="3">
        <v>48460</v>
      </c>
      <c r="J520" s="3" t="s">
        <v>1</v>
      </c>
      <c r="K520" s="3" t="s">
        <v>1</v>
      </c>
      <c r="L520" s="3" t="s">
        <v>1</v>
      </c>
      <c r="M520" s="5">
        <v>7158.75</v>
      </c>
      <c r="N520" s="5">
        <v>0</v>
      </c>
      <c r="O520" t="str">
        <f t="shared" si="103"/>
        <v>BANKNIFTY</v>
      </c>
      <c r="P520" t="str">
        <f>IF(SEARCH("NIFTY",O520),RIGHT(A520,7),0)</f>
        <v>43800PE</v>
      </c>
      <c r="Q520">
        <f t="shared" si="104"/>
        <v>4.7725</v>
      </c>
      <c r="S520">
        <v>0</v>
      </c>
    </row>
    <row r="521" spans="1:19" hidden="1" x14ac:dyDescent="0.3">
      <c r="A521" s="1" t="s">
        <v>520</v>
      </c>
      <c r="B521" s="2">
        <v>45169</v>
      </c>
      <c r="C521" s="3">
        <v>35200</v>
      </c>
      <c r="D521" s="3">
        <v>445.58</v>
      </c>
      <c r="E521" s="3">
        <v>15684320</v>
      </c>
      <c r="F521" s="3">
        <v>35200</v>
      </c>
      <c r="G521" s="3">
        <v>450.08</v>
      </c>
      <c r="H521" s="3">
        <f t="shared" si="102"/>
        <v>4.5</v>
      </c>
      <c r="I521" s="3">
        <v>15842960</v>
      </c>
      <c r="J521" s="3" t="s">
        <v>1</v>
      </c>
      <c r="K521" s="3" t="s">
        <v>1</v>
      </c>
      <c r="L521" s="3" t="s">
        <v>1</v>
      </c>
      <c r="M521" s="5">
        <v>158640</v>
      </c>
      <c r="N521" s="5">
        <v>0</v>
      </c>
      <c r="O521" t="e">
        <f t="shared" si="103"/>
        <v>#VALUE!</v>
      </c>
      <c r="P521" t="e">
        <f>IF(SEARCH("NIFTY",O521),RIGHT(A521,7),0)</f>
        <v>#VALUE!</v>
      </c>
      <c r="S521">
        <v>0</v>
      </c>
    </row>
    <row r="522" spans="1:19" x14ac:dyDescent="0.3">
      <c r="A522" s="1" t="s">
        <v>521</v>
      </c>
      <c r="B522" s="2">
        <v>45043</v>
      </c>
      <c r="C522" s="3">
        <v>1200</v>
      </c>
      <c r="D522" s="3">
        <v>78.510000000000005</v>
      </c>
      <c r="E522" s="3">
        <v>94212.5</v>
      </c>
      <c r="F522" s="3">
        <v>1200</v>
      </c>
      <c r="G522" s="3">
        <v>75.569999999999993</v>
      </c>
      <c r="H522" s="3">
        <f t="shared" si="102"/>
        <v>-2.9400000000000119</v>
      </c>
      <c r="I522" s="3">
        <v>90682.5</v>
      </c>
      <c r="J522" s="3" t="s">
        <v>1</v>
      </c>
      <c r="K522" s="3" t="s">
        <v>1</v>
      </c>
      <c r="L522" s="3" t="s">
        <v>1</v>
      </c>
      <c r="M522" s="4">
        <v>-3530</v>
      </c>
      <c r="N522" s="5">
        <v>0</v>
      </c>
      <c r="O522" t="str">
        <f t="shared" si="103"/>
        <v>BANKNIFTY</v>
      </c>
      <c r="P522" t="str">
        <f>IF(SEARCH("NIFTY",O522),RIGHT(A522,7),0)</f>
        <v>41500PE</v>
      </c>
      <c r="Q522">
        <f>M522/C522</f>
        <v>-2.9416666666666669</v>
      </c>
      <c r="S522">
        <v>0</v>
      </c>
    </row>
    <row r="523" spans="1:19" hidden="1" x14ac:dyDescent="0.3">
      <c r="A523" s="1" t="s">
        <v>522</v>
      </c>
      <c r="B523" s="2">
        <v>45120</v>
      </c>
      <c r="C523" s="3">
        <v>250</v>
      </c>
      <c r="D523" s="3">
        <v>194.82</v>
      </c>
      <c r="E523" s="3">
        <v>48705</v>
      </c>
      <c r="F523" s="3">
        <v>250</v>
      </c>
      <c r="G523" s="3">
        <v>161.35</v>
      </c>
      <c r="H523" s="3">
        <f t="shared" si="102"/>
        <v>-33.47</v>
      </c>
      <c r="I523" s="3">
        <v>40337.5</v>
      </c>
      <c r="J523" s="3" t="s">
        <v>1</v>
      </c>
      <c r="K523" s="3" t="s">
        <v>1</v>
      </c>
      <c r="L523" s="3" t="s">
        <v>1</v>
      </c>
      <c r="M523" s="4">
        <v>-8367.5</v>
      </c>
      <c r="N523" s="5">
        <v>0</v>
      </c>
      <c r="O523" t="str">
        <f t="shared" si="103"/>
        <v>NIFTY</v>
      </c>
      <c r="P523" t="str">
        <f>IF(SEARCH("NIFTY",O523),RIGHT(A523,7),0)</f>
        <v>19300CE</v>
      </c>
      <c r="S523">
        <v>0</v>
      </c>
    </row>
    <row r="524" spans="1:19" hidden="1" x14ac:dyDescent="0.3">
      <c r="A524" s="1" t="s">
        <v>523</v>
      </c>
      <c r="B524" s="2">
        <v>45105</v>
      </c>
      <c r="C524" s="3">
        <v>1000</v>
      </c>
      <c r="D524" s="3">
        <v>18789.03</v>
      </c>
      <c r="E524" s="3">
        <v>18789027.5</v>
      </c>
      <c r="F524" s="3">
        <v>1000</v>
      </c>
      <c r="G524" s="3">
        <v>18832.64</v>
      </c>
      <c r="H524" s="3">
        <f t="shared" si="102"/>
        <v>43.610000000000582</v>
      </c>
      <c r="I524" s="3">
        <v>18832642.5</v>
      </c>
      <c r="J524" s="3" t="s">
        <v>1</v>
      </c>
      <c r="K524" s="3" t="s">
        <v>1</v>
      </c>
      <c r="L524" s="3" t="s">
        <v>1</v>
      </c>
      <c r="M524" s="5">
        <v>43615</v>
      </c>
      <c r="N524" s="5">
        <v>0</v>
      </c>
      <c r="O524" t="str">
        <f t="shared" si="103"/>
        <v>NIFTY</v>
      </c>
      <c r="P524" t="str">
        <f>IF(SEARCH("NIFTY",O524),RIGHT(A524,7),0)</f>
        <v>3JUNFUT</v>
      </c>
      <c r="S524">
        <v>0</v>
      </c>
    </row>
    <row r="525" spans="1:19" hidden="1" x14ac:dyDescent="0.3">
      <c r="A525" s="1" t="s">
        <v>524</v>
      </c>
      <c r="B525" s="2">
        <v>45134</v>
      </c>
      <c r="C525" s="3">
        <v>1000</v>
      </c>
      <c r="D525" s="3">
        <v>215.85</v>
      </c>
      <c r="E525" s="3">
        <v>215850</v>
      </c>
      <c r="F525" s="3">
        <v>1000</v>
      </c>
      <c r="G525" s="3">
        <v>208.5</v>
      </c>
      <c r="H525" s="3">
        <f t="shared" si="102"/>
        <v>-7.3499999999999943</v>
      </c>
      <c r="I525" s="3">
        <v>208497.5</v>
      </c>
      <c r="J525" s="3" t="s">
        <v>1</v>
      </c>
      <c r="K525" s="3" t="s">
        <v>1</v>
      </c>
      <c r="L525" s="3" t="s">
        <v>1</v>
      </c>
      <c r="M525" s="4">
        <v>-7352.5</v>
      </c>
      <c r="N525" s="5">
        <v>0</v>
      </c>
      <c r="O525" t="str">
        <f t="shared" si="103"/>
        <v>NIFTY</v>
      </c>
      <c r="P525" t="str">
        <f>IF(SEARCH("NIFTY",O525),RIGHT(A525,7),0)</f>
        <v>19900PE</v>
      </c>
      <c r="S525">
        <v>0</v>
      </c>
    </row>
    <row r="526" spans="1:19" hidden="1" x14ac:dyDescent="0.3">
      <c r="A526" s="1" t="s">
        <v>525</v>
      </c>
      <c r="B526" s="2">
        <v>45043</v>
      </c>
      <c r="C526" s="3">
        <v>12100</v>
      </c>
      <c r="D526" s="3">
        <v>8.34</v>
      </c>
      <c r="E526" s="3">
        <v>100945</v>
      </c>
      <c r="F526" s="3">
        <v>12100</v>
      </c>
      <c r="G526" s="3">
        <v>7.41</v>
      </c>
      <c r="H526" s="3">
        <f t="shared" si="102"/>
        <v>-0.92999999999999972</v>
      </c>
      <c r="I526" s="3">
        <v>89650</v>
      </c>
      <c r="J526" s="3" t="s">
        <v>1</v>
      </c>
      <c r="K526" s="3" t="s">
        <v>1</v>
      </c>
      <c r="L526" s="3" t="s">
        <v>1</v>
      </c>
      <c r="M526" s="4">
        <v>-11295</v>
      </c>
      <c r="N526" s="5">
        <v>0</v>
      </c>
      <c r="O526" t="str">
        <f t="shared" si="103"/>
        <v>NIFTY</v>
      </c>
      <c r="P526" t="str">
        <f>IF(SEARCH("NIFTY",O526),RIGHT(A526,7),0)</f>
        <v>17900CE</v>
      </c>
      <c r="S526">
        <v>0</v>
      </c>
    </row>
    <row r="527" spans="1:19" hidden="1" x14ac:dyDescent="0.3">
      <c r="A527" s="1" t="s">
        <v>526</v>
      </c>
      <c r="B527" s="2">
        <v>45043</v>
      </c>
      <c r="C527" s="3">
        <v>1500</v>
      </c>
      <c r="D527" s="3">
        <v>1.3</v>
      </c>
      <c r="E527" s="3">
        <v>1950</v>
      </c>
      <c r="F527" s="3">
        <v>1500</v>
      </c>
      <c r="G527" s="3">
        <v>1.1499999999999999</v>
      </c>
      <c r="H527" s="3">
        <f t="shared" si="102"/>
        <v>-0.15000000000000013</v>
      </c>
      <c r="I527" s="3">
        <v>1725</v>
      </c>
      <c r="J527" s="3" t="s">
        <v>1</v>
      </c>
      <c r="K527" s="3" t="s">
        <v>1</v>
      </c>
      <c r="L527" s="3" t="s">
        <v>1</v>
      </c>
      <c r="M527" s="4">
        <v>-225</v>
      </c>
      <c r="N527" s="5">
        <v>0</v>
      </c>
      <c r="O527" t="str">
        <f t="shared" si="103"/>
        <v>NIFTY</v>
      </c>
      <c r="P527" t="str">
        <f>IF(SEARCH("NIFTY",O527),RIGHT(A527,7),0)</f>
        <v>17500PE</v>
      </c>
      <c r="S527">
        <v>0</v>
      </c>
    </row>
    <row r="528" spans="1:19" x14ac:dyDescent="0.3">
      <c r="A528" s="1" t="s">
        <v>527</v>
      </c>
      <c r="B528" s="2">
        <v>45078</v>
      </c>
      <c r="C528" s="3">
        <v>2800</v>
      </c>
      <c r="D528" s="3">
        <v>31.82</v>
      </c>
      <c r="E528" s="3">
        <v>89102.5</v>
      </c>
      <c r="F528" s="3">
        <v>2800</v>
      </c>
      <c r="G528" s="3">
        <v>39.11</v>
      </c>
      <c r="H528" s="3">
        <f t="shared" si="102"/>
        <v>7.2899999999999991</v>
      </c>
      <c r="I528" s="3">
        <v>109513.75</v>
      </c>
      <c r="J528" s="3" t="s">
        <v>1</v>
      </c>
      <c r="K528" s="3" t="s">
        <v>1</v>
      </c>
      <c r="L528" s="3" t="s">
        <v>1</v>
      </c>
      <c r="M528" s="5">
        <v>20411.25</v>
      </c>
      <c r="N528" s="5">
        <v>0</v>
      </c>
      <c r="O528" t="str">
        <f t="shared" si="103"/>
        <v>BANKNIFTY</v>
      </c>
      <c r="P528" t="str">
        <f>IF(SEARCH("NIFTY",O528),RIGHT(A528,7),0)</f>
        <v>43600PE</v>
      </c>
      <c r="Q528">
        <f t="shared" ref="Q528:Q531" si="105">M528/C528</f>
        <v>7.2897321428571429</v>
      </c>
      <c r="S528">
        <v>0</v>
      </c>
    </row>
    <row r="529" spans="1:19" x14ac:dyDescent="0.3">
      <c r="A529" s="1" t="s">
        <v>528</v>
      </c>
      <c r="B529" s="2">
        <v>45036</v>
      </c>
      <c r="C529" s="3">
        <v>1000</v>
      </c>
      <c r="D529" s="3">
        <v>9.91</v>
      </c>
      <c r="E529" s="3">
        <v>9905</v>
      </c>
      <c r="F529" s="3">
        <v>1000</v>
      </c>
      <c r="G529" s="3">
        <v>22.2</v>
      </c>
      <c r="H529" s="3">
        <f t="shared" si="102"/>
        <v>12.29</v>
      </c>
      <c r="I529" s="3">
        <v>22202.5</v>
      </c>
      <c r="J529" s="3" t="s">
        <v>1</v>
      </c>
      <c r="K529" s="3" t="s">
        <v>1</v>
      </c>
      <c r="L529" s="3" t="s">
        <v>1</v>
      </c>
      <c r="M529" s="5">
        <v>12297.5</v>
      </c>
      <c r="N529" s="5">
        <v>0</v>
      </c>
      <c r="O529" t="str">
        <f t="shared" si="103"/>
        <v>BANKNIFTY</v>
      </c>
      <c r="P529" t="str">
        <f>IF(SEARCH("NIFTY",O529),RIGHT(A529,7),0)</f>
        <v>42500CE</v>
      </c>
      <c r="Q529">
        <f t="shared" si="105"/>
        <v>12.297499999999999</v>
      </c>
      <c r="S529">
        <v>0</v>
      </c>
    </row>
    <row r="530" spans="1:19" x14ac:dyDescent="0.3">
      <c r="A530" s="1" t="s">
        <v>529</v>
      </c>
      <c r="B530" s="2">
        <v>45134</v>
      </c>
      <c r="C530" s="3">
        <v>450</v>
      </c>
      <c r="D530" s="3">
        <v>6.05</v>
      </c>
      <c r="E530" s="3">
        <v>2722.5</v>
      </c>
      <c r="F530" s="3">
        <v>450</v>
      </c>
      <c r="G530" s="3">
        <v>4.95</v>
      </c>
      <c r="H530" s="3">
        <f t="shared" si="102"/>
        <v>-1.0999999999999996</v>
      </c>
      <c r="I530" s="3">
        <v>2227.5</v>
      </c>
      <c r="J530" s="3" t="s">
        <v>1</v>
      </c>
      <c r="K530" s="3" t="s">
        <v>1</v>
      </c>
      <c r="L530" s="3" t="s">
        <v>1</v>
      </c>
      <c r="M530" s="4">
        <v>-495</v>
      </c>
      <c r="N530" s="5">
        <v>0</v>
      </c>
      <c r="O530" t="str">
        <f t="shared" si="103"/>
        <v>BANKNIFTY</v>
      </c>
      <c r="P530" t="str">
        <f>IF(SEARCH("NIFTY",O530),RIGHT(A530,7),0)</f>
        <v>42900PE</v>
      </c>
      <c r="Q530">
        <f t="shared" si="105"/>
        <v>-1.1000000000000001</v>
      </c>
      <c r="S530">
        <v>0</v>
      </c>
    </row>
    <row r="531" spans="1:19" x14ac:dyDescent="0.3">
      <c r="A531" s="1" t="s">
        <v>530</v>
      </c>
      <c r="B531" s="2">
        <v>45085</v>
      </c>
      <c r="C531" s="3">
        <v>1400</v>
      </c>
      <c r="D531" s="3">
        <v>27.15</v>
      </c>
      <c r="E531" s="3">
        <v>38013.75</v>
      </c>
      <c r="F531" s="3">
        <v>1400</v>
      </c>
      <c r="G531" s="3">
        <v>32.83</v>
      </c>
      <c r="H531" s="3">
        <f t="shared" si="102"/>
        <v>5.68</v>
      </c>
      <c r="I531" s="3">
        <v>45955</v>
      </c>
      <c r="J531" s="3" t="s">
        <v>1</v>
      </c>
      <c r="K531" s="3" t="s">
        <v>1</v>
      </c>
      <c r="L531" s="3" t="s">
        <v>1</v>
      </c>
      <c r="M531" s="5">
        <v>7941.25</v>
      </c>
      <c r="N531" s="5">
        <v>0</v>
      </c>
      <c r="O531" t="str">
        <f t="shared" si="103"/>
        <v>BANKNIFTY</v>
      </c>
      <c r="P531" t="str">
        <f>IF(SEARCH("NIFTY",O531),RIGHT(A531,7),0)</f>
        <v>43700PE</v>
      </c>
      <c r="Q531">
        <f t="shared" si="105"/>
        <v>5.6723214285714283</v>
      </c>
      <c r="S531">
        <v>0</v>
      </c>
    </row>
    <row r="532" spans="1:19" hidden="1" x14ac:dyDescent="0.3">
      <c r="A532" s="1" t="s">
        <v>531</v>
      </c>
      <c r="B532" s="2">
        <v>45099</v>
      </c>
      <c r="C532" s="3">
        <v>300</v>
      </c>
      <c r="D532" s="3">
        <v>122</v>
      </c>
      <c r="E532" s="3">
        <v>36600</v>
      </c>
      <c r="F532" s="3">
        <v>300</v>
      </c>
      <c r="G532" s="3">
        <v>111.15</v>
      </c>
      <c r="H532" s="3">
        <f t="shared" si="102"/>
        <v>-10.849999999999994</v>
      </c>
      <c r="I532" s="3">
        <v>33345</v>
      </c>
      <c r="J532" s="3" t="s">
        <v>1</v>
      </c>
      <c r="K532" s="3" t="s">
        <v>1</v>
      </c>
      <c r="L532" s="3" t="s">
        <v>1</v>
      </c>
      <c r="M532" s="4">
        <v>-3255</v>
      </c>
      <c r="N532" s="5">
        <v>0</v>
      </c>
      <c r="O532" t="str">
        <f t="shared" si="103"/>
        <v>NIFTY</v>
      </c>
      <c r="P532" t="str">
        <f>IF(SEARCH("NIFTY",O532),RIGHT(A532,7),0)</f>
        <v>18700CE</v>
      </c>
      <c r="S532">
        <v>0</v>
      </c>
    </row>
    <row r="533" spans="1:19" x14ac:dyDescent="0.3">
      <c r="A533" s="1" t="s">
        <v>532</v>
      </c>
      <c r="B533" s="2">
        <v>45134</v>
      </c>
      <c r="C533" s="3">
        <v>690</v>
      </c>
      <c r="D533" s="3">
        <v>32.299999999999997</v>
      </c>
      <c r="E533" s="3">
        <v>22287</v>
      </c>
      <c r="F533" s="3">
        <v>690</v>
      </c>
      <c r="G533" s="3">
        <v>38.950000000000003</v>
      </c>
      <c r="H533" s="3">
        <f t="shared" si="102"/>
        <v>6.6500000000000057</v>
      </c>
      <c r="I533" s="3">
        <v>26872.5</v>
      </c>
      <c r="J533" s="3" t="s">
        <v>1</v>
      </c>
      <c r="K533" s="3" t="s">
        <v>1</v>
      </c>
      <c r="L533" s="3" t="s">
        <v>1</v>
      </c>
      <c r="M533" s="5">
        <v>4585.5</v>
      </c>
      <c r="N533" s="5">
        <v>0</v>
      </c>
      <c r="O533" t="str">
        <f t="shared" si="103"/>
        <v>BANKNIFTY</v>
      </c>
      <c r="P533" t="str">
        <f>IF(SEARCH("NIFTY",O533),RIGHT(A533,7),0)</f>
        <v>44900PE</v>
      </c>
      <c r="Q533">
        <f>M533/C533</f>
        <v>6.6456521739130432</v>
      </c>
      <c r="S533">
        <v>0</v>
      </c>
    </row>
    <row r="534" spans="1:19" hidden="1" x14ac:dyDescent="0.3">
      <c r="A534" s="1" t="s">
        <v>533</v>
      </c>
      <c r="B534" s="2">
        <v>45105</v>
      </c>
      <c r="C534" s="3">
        <v>315000</v>
      </c>
      <c r="D534" s="3">
        <v>70.900000000000006</v>
      </c>
      <c r="E534" s="3">
        <v>22333500</v>
      </c>
      <c r="F534" s="3">
        <v>315000</v>
      </c>
      <c r="G534" s="3">
        <v>73.040000000000006</v>
      </c>
      <c r="H534" s="3">
        <f t="shared" si="102"/>
        <v>2.1400000000000006</v>
      </c>
      <c r="I534" s="3">
        <v>23007000</v>
      </c>
      <c r="J534" s="3" t="s">
        <v>1</v>
      </c>
      <c r="K534" s="3" t="s">
        <v>1</v>
      </c>
      <c r="L534" s="3" t="s">
        <v>1</v>
      </c>
      <c r="M534" s="5">
        <v>673500</v>
      </c>
      <c r="N534" s="5">
        <v>0</v>
      </c>
      <c r="O534" t="e">
        <f t="shared" si="103"/>
        <v>#VALUE!</v>
      </c>
      <c r="P534" t="e">
        <f>IF(SEARCH("NIFTY",O534),RIGHT(A534,7),0)</f>
        <v>#VALUE!</v>
      </c>
      <c r="S534">
        <v>0</v>
      </c>
    </row>
    <row r="535" spans="1:19" x14ac:dyDescent="0.3">
      <c r="A535" s="1" t="s">
        <v>534</v>
      </c>
      <c r="B535" s="2">
        <v>45085</v>
      </c>
      <c r="C535" s="3">
        <v>2300</v>
      </c>
      <c r="D535" s="3">
        <v>26.97</v>
      </c>
      <c r="E535" s="3">
        <v>62035</v>
      </c>
      <c r="F535" s="3">
        <v>2300</v>
      </c>
      <c r="G535" s="3">
        <v>26.43</v>
      </c>
      <c r="H535" s="3">
        <f t="shared" si="102"/>
        <v>-0.53999999999999915</v>
      </c>
      <c r="I535" s="3">
        <v>60793.75</v>
      </c>
      <c r="J535" s="3" t="s">
        <v>1</v>
      </c>
      <c r="K535" s="3" t="s">
        <v>1</v>
      </c>
      <c r="L535" s="3" t="s">
        <v>1</v>
      </c>
      <c r="M535" s="4">
        <v>-1241.25</v>
      </c>
      <c r="N535" s="5">
        <v>0</v>
      </c>
      <c r="O535" t="str">
        <f t="shared" si="103"/>
        <v>BANKNIFTY</v>
      </c>
      <c r="P535" t="str">
        <f>IF(SEARCH("NIFTY",O535),RIGHT(A535,7),0)</f>
        <v>44800CE</v>
      </c>
      <c r="Q535">
        <f>M535/C535</f>
        <v>-0.53967391304347823</v>
      </c>
      <c r="S535">
        <v>0</v>
      </c>
    </row>
    <row r="536" spans="1:19" hidden="1" x14ac:dyDescent="0.3">
      <c r="A536" s="1" t="s">
        <v>535</v>
      </c>
      <c r="B536" s="2">
        <v>45156</v>
      </c>
      <c r="C536" s="3">
        <v>60</v>
      </c>
      <c r="D536" s="3">
        <v>0.1</v>
      </c>
      <c r="E536" s="3">
        <v>6</v>
      </c>
      <c r="F536" s="3">
        <v>60</v>
      </c>
      <c r="G536" s="3">
        <v>21.9</v>
      </c>
      <c r="H536" s="3">
        <f t="shared" si="102"/>
        <v>21.799999999999997</v>
      </c>
      <c r="I536" s="3">
        <v>1314</v>
      </c>
      <c r="J536" s="3" t="s">
        <v>1</v>
      </c>
      <c r="K536" s="3" t="s">
        <v>1</v>
      </c>
      <c r="L536" s="3" t="s">
        <v>1</v>
      </c>
      <c r="M536" s="5">
        <v>1308</v>
      </c>
      <c r="N536" s="5">
        <v>0</v>
      </c>
      <c r="O536" t="e">
        <f t="shared" si="103"/>
        <v>#VALUE!</v>
      </c>
      <c r="P536" t="e">
        <f>IF(SEARCH("NIFTY",O536),RIGHT(A536,7),0)</f>
        <v>#VALUE!</v>
      </c>
      <c r="S536">
        <v>0</v>
      </c>
    </row>
    <row r="537" spans="1:19" x14ac:dyDescent="0.3">
      <c r="A537" s="1" t="s">
        <v>536</v>
      </c>
      <c r="B537" s="2">
        <v>45162</v>
      </c>
      <c r="C537" s="3">
        <v>1980</v>
      </c>
      <c r="D537" s="3">
        <v>20.190000000000001</v>
      </c>
      <c r="E537" s="3">
        <v>39968.25</v>
      </c>
      <c r="F537" s="3">
        <v>1980</v>
      </c>
      <c r="G537" s="3">
        <v>18</v>
      </c>
      <c r="H537" s="3">
        <f t="shared" si="102"/>
        <v>-2.1900000000000013</v>
      </c>
      <c r="I537" s="3">
        <v>35631</v>
      </c>
      <c r="J537" s="3" t="s">
        <v>1</v>
      </c>
      <c r="K537" s="3" t="s">
        <v>1</v>
      </c>
      <c r="L537" s="3" t="s">
        <v>1</v>
      </c>
      <c r="M537" s="4">
        <v>-4337.25</v>
      </c>
      <c r="N537" s="5">
        <v>0</v>
      </c>
      <c r="O537" t="str">
        <f t="shared" si="103"/>
        <v>BANKNIFTY</v>
      </c>
      <c r="P537" t="str">
        <f>IF(SEARCH("NIFTY",O537),RIGHT(A537,7),0)</f>
        <v>44700CE</v>
      </c>
      <c r="Q537">
        <f t="shared" ref="Q537:Q549" si="106">M537/C537</f>
        <v>-2.1905303030303029</v>
      </c>
      <c r="S537">
        <v>0</v>
      </c>
    </row>
    <row r="538" spans="1:19" x14ac:dyDescent="0.3">
      <c r="A538" s="1" t="s">
        <v>537</v>
      </c>
      <c r="B538" s="2">
        <v>45169</v>
      </c>
      <c r="C538" s="3">
        <v>945</v>
      </c>
      <c r="D538" s="3">
        <v>43.64</v>
      </c>
      <c r="E538" s="3">
        <v>41240.25</v>
      </c>
      <c r="F538" s="3">
        <v>945</v>
      </c>
      <c r="G538" s="3">
        <v>29.13</v>
      </c>
      <c r="H538" s="3">
        <f t="shared" si="102"/>
        <v>-14.510000000000002</v>
      </c>
      <c r="I538" s="3">
        <v>27527.25</v>
      </c>
      <c r="J538" s="3" t="s">
        <v>1</v>
      </c>
      <c r="K538" s="3" t="s">
        <v>1</v>
      </c>
      <c r="L538" s="3" t="s">
        <v>1</v>
      </c>
      <c r="M538" s="4">
        <v>-13713</v>
      </c>
      <c r="N538" s="5">
        <v>0</v>
      </c>
      <c r="O538" t="str">
        <f t="shared" si="103"/>
        <v>BANKNIFTY</v>
      </c>
      <c r="P538" t="str">
        <f>IF(SEARCH("NIFTY",O538),RIGHT(A538,7),0)</f>
        <v>44100PE</v>
      </c>
      <c r="Q538">
        <f t="shared" si="106"/>
        <v>-14.511111111111111</v>
      </c>
      <c r="S538">
        <v>0</v>
      </c>
    </row>
    <row r="539" spans="1:19" x14ac:dyDescent="0.3">
      <c r="A539" s="1" t="s">
        <v>538</v>
      </c>
      <c r="B539" s="2">
        <v>45134</v>
      </c>
      <c r="C539" s="3">
        <v>900</v>
      </c>
      <c r="D539" s="3">
        <v>35.18</v>
      </c>
      <c r="E539" s="3">
        <v>31663.5</v>
      </c>
      <c r="F539" s="3">
        <v>900</v>
      </c>
      <c r="G539" s="3">
        <v>30.8</v>
      </c>
      <c r="H539" s="3">
        <f t="shared" si="102"/>
        <v>-4.379999999999999</v>
      </c>
      <c r="I539" s="3">
        <v>27720</v>
      </c>
      <c r="J539" s="3" t="s">
        <v>1</v>
      </c>
      <c r="K539" s="3" t="s">
        <v>1</v>
      </c>
      <c r="L539" s="3" t="s">
        <v>1</v>
      </c>
      <c r="M539" s="4">
        <v>-3943.5</v>
      </c>
      <c r="N539" s="5">
        <v>0</v>
      </c>
      <c r="O539" t="str">
        <f t="shared" si="103"/>
        <v>BANKNIFTY</v>
      </c>
      <c r="P539" t="str">
        <f>IF(SEARCH("NIFTY",O539),RIGHT(A539,7),0)</f>
        <v>45600PE</v>
      </c>
      <c r="Q539">
        <f t="shared" si="106"/>
        <v>-4.3816666666666668</v>
      </c>
      <c r="S539">
        <v>0</v>
      </c>
    </row>
    <row r="540" spans="1:19" x14ac:dyDescent="0.3">
      <c r="A540" s="1" t="s">
        <v>539</v>
      </c>
      <c r="B540" s="2">
        <v>45127</v>
      </c>
      <c r="C540" s="3">
        <v>500</v>
      </c>
      <c r="D540" s="3">
        <v>2</v>
      </c>
      <c r="E540" s="3">
        <v>1000</v>
      </c>
      <c r="F540" s="3">
        <v>500</v>
      </c>
      <c r="G540" s="3">
        <v>27.2</v>
      </c>
      <c r="H540" s="3">
        <f t="shared" si="102"/>
        <v>25.2</v>
      </c>
      <c r="I540" s="3">
        <v>13600</v>
      </c>
      <c r="J540" s="3" t="s">
        <v>1</v>
      </c>
      <c r="K540" s="3" t="s">
        <v>1</v>
      </c>
      <c r="L540" s="3" t="s">
        <v>1</v>
      </c>
      <c r="M540" s="5">
        <v>12600</v>
      </c>
      <c r="N540" s="5">
        <v>0</v>
      </c>
      <c r="O540" t="str">
        <f t="shared" si="103"/>
        <v>BANKNIFTY</v>
      </c>
      <c r="P540" t="str">
        <f>IF(SEARCH("NIFTY",O540),RIGHT(A540,7),0)</f>
        <v>45300PE</v>
      </c>
      <c r="Q540">
        <f t="shared" si="106"/>
        <v>25.2</v>
      </c>
      <c r="S540">
        <v>0</v>
      </c>
    </row>
    <row r="541" spans="1:19" x14ac:dyDescent="0.3">
      <c r="A541" s="1" t="s">
        <v>540</v>
      </c>
      <c r="B541" s="2">
        <v>45064</v>
      </c>
      <c r="C541" s="3">
        <v>950</v>
      </c>
      <c r="D541" s="3">
        <v>7.83</v>
      </c>
      <c r="E541" s="3">
        <v>7440</v>
      </c>
      <c r="F541" s="3">
        <v>950</v>
      </c>
      <c r="G541" s="3">
        <v>6.68</v>
      </c>
      <c r="H541" s="3">
        <f t="shared" si="102"/>
        <v>-1.1500000000000004</v>
      </c>
      <c r="I541" s="3">
        <v>6345</v>
      </c>
      <c r="J541" s="3" t="s">
        <v>1</v>
      </c>
      <c r="K541" s="3" t="s">
        <v>1</v>
      </c>
      <c r="L541" s="3" t="s">
        <v>1</v>
      </c>
      <c r="M541" s="4">
        <v>-1095</v>
      </c>
      <c r="N541" s="5">
        <v>0</v>
      </c>
      <c r="O541" t="str">
        <f t="shared" si="103"/>
        <v>BANKNIFTY</v>
      </c>
      <c r="P541" t="str">
        <f>IF(SEARCH("NIFTY",O541),RIGHT(A541,7),0)</f>
        <v>41500PE</v>
      </c>
      <c r="Q541">
        <f t="shared" si="106"/>
        <v>-1.1526315789473685</v>
      </c>
      <c r="S541">
        <v>0</v>
      </c>
    </row>
    <row r="542" spans="1:19" x14ac:dyDescent="0.3">
      <c r="A542" s="1" t="s">
        <v>541</v>
      </c>
      <c r="B542" s="2">
        <v>45064</v>
      </c>
      <c r="C542" s="3">
        <v>950</v>
      </c>
      <c r="D542" s="3">
        <v>4.1399999999999997</v>
      </c>
      <c r="E542" s="3">
        <v>3932.5</v>
      </c>
      <c r="F542" s="3">
        <v>950</v>
      </c>
      <c r="G542" s="3">
        <v>4.84</v>
      </c>
      <c r="H542" s="3">
        <f t="shared" si="102"/>
        <v>0.70000000000000018</v>
      </c>
      <c r="I542" s="3">
        <v>4600</v>
      </c>
      <c r="J542" s="3" t="s">
        <v>1</v>
      </c>
      <c r="K542" s="3" t="s">
        <v>1</v>
      </c>
      <c r="L542" s="3" t="s">
        <v>1</v>
      </c>
      <c r="M542" s="5">
        <v>667.5</v>
      </c>
      <c r="N542" s="5">
        <v>0</v>
      </c>
      <c r="O542" t="str">
        <f t="shared" si="103"/>
        <v>BANKNIFTY</v>
      </c>
      <c r="P542" t="str">
        <f>IF(SEARCH("NIFTY",O542),RIGHT(A542,7),0)</f>
        <v>45500CE</v>
      </c>
      <c r="Q542">
        <f t="shared" si="106"/>
        <v>0.70263157894736838</v>
      </c>
      <c r="S542">
        <v>0</v>
      </c>
    </row>
    <row r="543" spans="1:19" x14ac:dyDescent="0.3">
      <c r="A543" s="1" t="s">
        <v>542</v>
      </c>
      <c r="B543" s="2">
        <v>45057</v>
      </c>
      <c r="C543" s="3">
        <v>700</v>
      </c>
      <c r="D543" s="3">
        <v>23.1</v>
      </c>
      <c r="E543" s="3">
        <v>16170</v>
      </c>
      <c r="F543" s="3">
        <v>700</v>
      </c>
      <c r="G543" s="3">
        <v>22.9</v>
      </c>
      <c r="H543" s="3">
        <f t="shared" si="102"/>
        <v>-0.20000000000000284</v>
      </c>
      <c r="I543" s="3">
        <v>16030</v>
      </c>
      <c r="J543" s="3" t="s">
        <v>1</v>
      </c>
      <c r="K543" s="3" t="s">
        <v>1</v>
      </c>
      <c r="L543" s="3" t="s">
        <v>1</v>
      </c>
      <c r="M543" s="4">
        <v>-140</v>
      </c>
      <c r="N543" s="5">
        <v>0</v>
      </c>
      <c r="O543" t="str">
        <f t="shared" si="103"/>
        <v>BANKNIFTY</v>
      </c>
      <c r="P543" t="str">
        <f>IF(SEARCH("NIFTY",O543),RIGHT(A543,7),0)</f>
        <v>44500CE</v>
      </c>
      <c r="Q543">
        <f t="shared" si="106"/>
        <v>-0.2</v>
      </c>
      <c r="S543">
        <v>0</v>
      </c>
    </row>
    <row r="544" spans="1:19" x14ac:dyDescent="0.3">
      <c r="A544" s="1" t="s">
        <v>543</v>
      </c>
      <c r="B544" s="2">
        <v>45099</v>
      </c>
      <c r="C544" s="3">
        <v>250</v>
      </c>
      <c r="D544" s="3">
        <v>593.72</v>
      </c>
      <c r="E544" s="3">
        <v>148430</v>
      </c>
      <c r="F544" s="3">
        <v>250</v>
      </c>
      <c r="G544" s="3">
        <v>560.24</v>
      </c>
      <c r="H544" s="3">
        <f t="shared" si="102"/>
        <v>-33.480000000000018</v>
      </c>
      <c r="I544" s="3">
        <v>140058.75</v>
      </c>
      <c r="J544" s="3" t="s">
        <v>1</v>
      </c>
      <c r="K544" s="3" t="s">
        <v>1</v>
      </c>
      <c r="L544" s="3" t="s">
        <v>1</v>
      </c>
      <c r="M544" s="4">
        <v>-8371.25</v>
      </c>
      <c r="N544" s="5">
        <v>0</v>
      </c>
      <c r="O544" t="str">
        <f t="shared" si="103"/>
        <v>BANKNIFTY</v>
      </c>
      <c r="P544" t="str">
        <f>IF(SEARCH("NIFTY",O544),RIGHT(A544,7),0)</f>
        <v>44000PE</v>
      </c>
      <c r="Q544">
        <f t="shared" si="106"/>
        <v>-33.484999999999999</v>
      </c>
      <c r="S544">
        <v>0</v>
      </c>
    </row>
    <row r="545" spans="1:19" x14ac:dyDescent="0.3">
      <c r="A545" s="1" t="s">
        <v>544</v>
      </c>
      <c r="B545" s="2">
        <v>45085</v>
      </c>
      <c r="C545" s="3">
        <v>3400</v>
      </c>
      <c r="D545" s="3">
        <v>31.76</v>
      </c>
      <c r="E545" s="3">
        <v>107988.75</v>
      </c>
      <c r="F545" s="3">
        <v>3400</v>
      </c>
      <c r="G545" s="3">
        <v>30.25</v>
      </c>
      <c r="H545" s="3">
        <f t="shared" si="102"/>
        <v>-1.5100000000000016</v>
      </c>
      <c r="I545" s="3">
        <v>102835</v>
      </c>
      <c r="J545" s="3" t="s">
        <v>1</v>
      </c>
      <c r="K545" s="3" t="s">
        <v>1</v>
      </c>
      <c r="L545" s="3" t="s">
        <v>1</v>
      </c>
      <c r="M545" s="4">
        <v>-5153.75</v>
      </c>
      <c r="N545" s="5">
        <v>0</v>
      </c>
      <c r="O545" t="str">
        <f t="shared" si="103"/>
        <v>BANKNIFTY</v>
      </c>
      <c r="P545" t="str">
        <f>IF(SEARCH("NIFTY",O545),RIGHT(A545,7),0)</f>
        <v>44500CE</v>
      </c>
      <c r="Q545">
        <f t="shared" si="106"/>
        <v>-1.5158088235294118</v>
      </c>
      <c r="S545">
        <v>0</v>
      </c>
    </row>
    <row r="546" spans="1:19" x14ac:dyDescent="0.3">
      <c r="A546" s="1" t="s">
        <v>545</v>
      </c>
      <c r="B546" s="2">
        <v>45085</v>
      </c>
      <c r="C546" s="3">
        <v>2000</v>
      </c>
      <c r="D546" s="3">
        <v>5.96</v>
      </c>
      <c r="E546" s="3">
        <v>11920</v>
      </c>
      <c r="F546" s="3">
        <v>2000</v>
      </c>
      <c r="G546" s="3">
        <v>4.6900000000000004</v>
      </c>
      <c r="H546" s="3">
        <f t="shared" si="102"/>
        <v>-1.2699999999999996</v>
      </c>
      <c r="I546" s="3">
        <v>9380</v>
      </c>
      <c r="J546" s="3" t="s">
        <v>1</v>
      </c>
      <c r="K546" s="3" t="s">
        <v>1</v>
      </c>
      <c r="L546" s="3" t="s">
        <v>1</v>
      </c>
      <c r="M546" s="4">
        <v>-2540</v>
      </c>
      <c r="N546" s="5">
        <v>0</v>
      </c>
      <c r="O546" t="str">
        <f t="shared" si="103"/>
        <v>BANKNIFTY</v>
      </c>
      <c r="P546" t="str">
        <f>IF(SEARCH("NIFTY",O546),RIGHT(A546,7),0)</f>
        <v>46000CE</v>
      </c>
      <c r="Q546">
        <f t="shared" si="106"/>
        <v>-1.27</v>
      </c>
      <c r="S546">
        <v>0</v>
      </c>
    </row>
    <row r="547" spans="1:19" x14ac:dyDescent="0.3">
      <c r="A547" s="1" t="s">
        <v>546</v>
      </c>
      <c r="B547" s="2">
        <v>45169</v>
      </c>
      <c r="C547" s="3">
        <v>1890</v>
      </c>
      <c r="D547" s="3">
        <v>94.89</v>
      </c>
      <c r="E547" s="3">
        <v>179341.5</v>
      </c>
      <c r="F547" s="3">
        <v>1890</v>
      </c>
      <c r="G547" s="3">
        <v>80.64</v>
      </c>
      <c r="H547" s="3">
        <f t="shared" si="102"/>
        <v>-14.25</v>
      </c>
      <c r="I547" s="3">
        <v>152412</v>
      </c>
      <c r="J547" s="3" t="s">
        <v>1</v>
      </c>
      <c r="K547" s="3" t="s">
        <v>1</v>
      </c>
      <c r="L547" s="3" t="s">
        <v>1</v>
      </c>
      <c r="M547" s="4">
        <v>-26929.5</v>
      </c>
      <c r="N547" s="5">
        <v>0</v>
      </c>
      <c r="O547" t="str">
        <f t="shared" si="103"/>
        <v>BANKNIFTY</v>
      </c>
      <c r="P547" t="str">
        <f>IF(SEARCH("NIFTY",O547),RIGHT(A547,7),0)</f>
        <v>44000PE</v>
      </c>
      <c r="Q547">
        <f t="shared" si="106"/>
        <v>-14.248412698412698</v>
      </c>
      <c r="S547">
        <v>0</v>
      </c>
    </row>
    <row r="548" spans="1:19" x14ac:dyDescent="0.3">
      <c r="A548" s="1" t="s">
        <v>547</v>
      </c>
      <c r="B548" s="2">
        <v>45175</v>
      </c>
      <c r="C548" s="3">
        <v>495</v>
      </c>
      <c r="D548" s="3">
        <v>76.400000000000006</v>
      </c>
      <c r="E548" s="3">
        <v>37818</v>
      </c>
      <c r="F548" s="3">
        <v>495</v>
      </c>
      <c r="G548" s="3">
        <v>68.010000000000005</v>
      </c>
      <c r="H548" s="3">
        <f t="shared" si="102"/>
        <v>-8.39</v>
      </c>
      <c r="I548" s="3">
        <v>33664.5</v>
      </c>
      <c r="J548" s="3" t="s">
        <v>1</v>
      </c>
      <c r="K548" s="3" t="s">
        <v>1</v>
      </c>
      <c r="L548" s="3" t="s">
        <v>1</v>
      </c>
      <c r="M548" s="4">
        <v>-4153.5</v>
      </c>
      <c r="N548" s="5">
        <v>0</v>
      </c>
      <c r="O548" t="str">
        <f t="shared" si="103"/>
        <v>BANKNIFTY</v>
      </c>
      <c r="P548" t="str">
        <f>IF(SEARCH("NIFTY",O548),RIGHT(A548,7),0)</f>
        <v>44000PE</v>
      </c>
      <c r="Q548">
        <f t="shared" si="106"/>
        <v>-8.3909090909090907</v>
      </c>
      <c r="S548">
        <v>0</v>
      </c>
    </row>
    <row r="549" spans="1:19" x14ac:dyDescent="0.3">
      <c r="A549" s="1" t="s">
        <v>548</v>
      </c>
      <c r="B549" s="2">
        <v>45099</v>
      </c>
      <c r="C549" s="3">
        <v>2100</v>
      </c>
      <c r="D549" s="3">
        <v>33.659999999999997</v>
      </c>
      <c r="E549" s="3">
        <v>70683.75</v>
      </c>
      <c r="F549" s="3">
        <v>2100</v>
      </c>
      <c r="G549" s="3">
        <v>35.61</v>
      </c>
      <c r="H549" s="3">
        <f t="shared" si="102"/>
        <v>1.9500000000000028</v>
      </c>
      <c r="I549" s="3">
        <v>74775</v>
      </c>
      <c r="J549" s="3" t="s">
        <v>1</v>
      </c>
      <c r="K549" s="3" t="s">
        <v>1</v>
      </c>
      <c r="L549" s="3" t="s">
        <v>1</v>
      </c>
      <c r="M549" s="5">
        <v>4091.25</v>
      </c>
      <c r="N549" s="5">
        <v>0</v>
      </c>
      <c r="O549" t="str">
        <f t="shared" si="103"/>
        <v>BANKNIFTY</v>
      </c>
      <c r="P549" t="str">
        <f>IF(SEARCH("NIFTY",O549),RIGHT(A549,7),0)</f>
        <v>43200PE</v>
      </c>
      <c r="Q549">
        <f t="shared" si="106"/>
        <v>1.9482142857142857</v>
      </c>
      <c r="S549">
        <v>0</v>
      </c>
    </row>
    <row r="550" spans="1:19" hidden="1" x14ac:dyDescent="0.3">
      <c r="A550" s="1" t="s">
        <v>549</v>
      </c>
      <c r="B550" s="2">
        <v>45197</v>
      </c>
      <c r="C550" s="3">
        <v>3000</v>
      </c>
      <c r="D550" s="3">
        <v>10168.74</v>
      </c>
      <c r="E550" s="3">
        <v>30506215</v>
      </c>
      <c r="F550" s="3">
        <v>2000</v>
      </c>
      <c r="G550" s="3">
        <v>10239.01</v>
      </c>
      <c r="H550" s="3">
        <f t="shared" si="102"/>
        <v>70.270000000000437</v>
      </c>
      <c r="I550" s="3">
        <v>20478015</v>
      </c>
      <c r="J550" s="3">
        <v>1000</v>
      </c>
      <c r="K550" s="3">
        <v>10275.950000000001</v>
      </c>
      <c r="L550" s="3">
        <v>10327.549999999999</v>
      </c>
      <c r="M550" s="5">
        <v>247750</v>
      </c>
      <c r="N550" s="5">
        <v>51600</v>
      </c>
      <c r="O550" t="e">
        <f t="shared" si="103"/>
        <v>#VALUE!</v>
      </c>
      <c r="P550" t="e">
        <f>IF(SEARCH("NIFTY",O550),RIGHT(A550,7),0)</f>
        <v>#VALUE!</v>
      </c>
      <c r="S550">
        <v>0</v>
      </c>
    </row>
    <row r="551" spans="1:19" x14ac:dyDescent="0.3">
      <c r="A551" s="1" t="s">
        <v>550</v>
      </c>
      <c r="B551" s="2">
        <v>45175</v>
      </c>
      <c r="C551" s="3">
        <v>945</v>
      </c>
      <c r="D551" s="3">
        <v>70.45</v>
      </c>
      <c r="E551" s="3">
        <v>66576.75</v>
      </c>
      <c r="F551" s="3">
        <v>945</v>
      </c>
      <c r="G551" s="3">
        <v>29.46</v>
      </c>
      <c r="H551" s="3">
        <f t="shared" si="102"/>
        <v>-40.99</v>
      </c>
      <c r="I551" s="3">
        <v>27843.75</v>
      </c>
      <c r="J551" s="3" t="s">
        <v>1</v>
      </c>
      <c r="K551" s="3" t="s">
        <v>1</v>
      </c>
      <c r="L551" s="3" t="s">
        <v>1</v>
      </c>
      <c r="M551" s="4">
        <v>-38733</v>
      </c>
      <c r="N551" s="5">
        <v>0</v>
      </c>
      <c r="O551" t="str">
        <f t="shared" si="103"/>
        <v>BANKNIFTY</v>
      </c>
      <c r="P551" t="str">
        <f>IF(SEARCH("NIFTY",O551),RIGHT(A551,7),0)</f>
        <v>43700PE</v>
      </c>
      <c r="Q551">
        <f t="shared" ref="Q551:Q552" si="107">M551/C551</f>
        <v>-40.987301587301587</v>
      </c>
      <c r="S551">
        <v>0</v>
      </c>
    </row>
    <row r="552" spans="1:19" x14ac:dyDescent="0.3">
      <c r="A552" s="1" t="s">
        <v>551</v>
      </c>
      <c r="B552" s="2">
        <v>45071</v>
      </c>
      <c r="C552" s="3">
        <v>1200</v>
      </c>
      <c r="D552" s="3">
        <v>15.82</v>
      </c>
      <c r="E552" s="3">
        <v>18980</v>
      </c>
      <c r="F552" s="3">
        <v>1200</v>
      </c>
      <c r="G552" s="3">
        <v>20.39</v>
      </c>
      <c r="H552" s="3">
        <f t="shared" si="102"/>
        <v>4.57</v>
      </c>
      <c r="I552" s="3">
        <v>24467.5</v>
      </c>
      <c r="J552" s="3" t="s">
        <v>1</v>
      </c>
      <c r="K552" s="3" t="s">
        <v>1</v>
      </c>
      <c r="L552" s="3" t="s">
        <v>1</v>
      </c>
      <c r="M552" s="5">
        <v>5487.5</v>
      </c>
      <c r="N552" s="5">
        <v>0</v>
      </c>
      <c r="O552" t="str">
        <f t="shared" si="103"/>
        <v>BANKNIFTY</v>
      </c>
      <c r="P552" t="str">
        <f>IF(SEARCH("NIFTY",O552),RIGHT(A552,7),0)</f>
        <v>44800CE</v>
      </c>
      <c r="Q552">
        <f t="shared" si="107"/>
        <v>4.572916666666667</v>
      </c>
      <c r="S552">
        <v>0</v>
      </c>
    </row>
    <row r="553" spans="1:19" hidden="1" x14ac:dyDescent="0.3">
      <c r="A553" s="1" t="s">
        <v>552</v>
      </c>
      <c r="B553" s="2">
        <v>45076</v>
      </c>
      <c r="C553" s="3">
        <v>2400</v>
      </c>
      <c r="D553" s="3">
        <v>1.7</v>
      </c>
      <c r="E553" s="3">
        <v>4070</v>
      </c>
      <c r="F553" s="3">
        <v>2400</v>
      </c>
      <c r="G553" s="3">
        <v>1.1599999999999999</v>
      </c>
      <c r="H553" s="3">
        <f t="shared" si="102"/>
        <v>-0.54</v>
      </c>
      <c r="I553" s="3">
        <v>2790</v>
      </c>
      <c r="J553" s="3" t="s">
        <v>1</v>
      </c>
      <c r="K553" s="3" t="s">
        <v>1</v>
      </c>
      <c r="L553" s="3" t="s">
        <v>1</v>
      </c>
      <c r="M553" s="4">
        <v>-1280</v>
      </c>
      <c r="N553" s="5">
        <v>0</v>
      </c>
      <c r="O553" t="str">
        <f t="shared" si="103"/>
        <v>FINNIFTY</v>
      </c>
      <c r="P553" t="str">
        <f>IF(SEARCH("NIFTY",O553),RIGHT(A553,7),0)</f>
        <v>19700CE</v>
      </c>
      <c r="S553">
        <v>0</v>
      </c>
    </row>
    <row r="554" spans="1:19" hidden="1" x14ac:dyDescent="0.3">
      <c r="A554" s="1" t="s">
        <v>553</v>
      </c>
      <c r="B554" s="2">
        <v>45097</v>
      </c>
      <c r="C554" s="3">
        <v>1200</v>
      </c>
      <c r="D554" s="3">
        <v>1.35</v>
      </c>
      <c r="E554" s="3">
        <v>1620</v>
      </c>
      <c r="F554" s="3">
        <v>1200</v>
      </c>
      <c r="G554" s="3">
        <v>1</v>
      </c>
      <c r="H554" s="3">
        <f t="shared" si="102"/>
        <v>-0.35000000000000009</v>
      </c>
      <c r="I554" s="3">
        <v>1200</v>
      </c>
      <c r="J554" s="3" t="s">
        <v>1</v>
      </c>
      <c r="K554" s="3" t="s">
        <v>1</v>
      </c>
      <c r="L554" s="3" t="s">
        <v>1</v>
      </c>
      <c r="M554" s="4">
        <v>-420</v>
      </c>
      <c r="N554" s="5">
        <v>0</v>
      </c>
      <c r="O554" t="str">
        <f t="shared" si="103"/>
        <v>FINNIFTY</v>
      </c>
      <c r="P554" t="str">
        <f>IF(SEARCH("NIFTY",O554),RIGHT(A554,7),0)</f>
        <v>20000CE</v>
      </c>
      <c r="S554">
        <v>0</v>
      </c>
    </row>
    <row r="555" spans="1:19" hidden="1" x14ac:dyDescent="0.3">
      <c r="A555" s="1" t="s">
        <v>554</v>
      </c>
      <c r="B555" s="2">
        <v>45105</v>
      </c>
      <c r="C555" s="3">
        <v>10000</v>
      </c>
      <c r="D555" s="3">
        <v>0.9</v>
      </c>
      <c r="E555" s="3">
        <v>9000</v>
      </c>
      <c r="F555" s="3">
        <v>10000</v>
      </c>
      <c r="G555" s="3">
        <v>0.65</v>
      </c>
      <c r="H555" s="3">
        <f t="shared" si="102"/>
        <v>-0.25</v>
      </c>
      <c r="I555" s="3">
        <v>6500</v>
      </c>
      <c r="J555" s="3" t="s">
        <v>1</v>
      </c>
      <c r="K555" s="3" t="s">
        <v>1</v>
      </c>
      <c r="L555" s="3" t="s">
        <v>1</v>
      </c>
      <c r="M555" s="4">
        <v>-2500</v>
      </c>
      <c r="N555" s="5">
        <v>0</v>
      </c>
      <c r="O555" t="e">
        <f t="shared" si="103"/>
        <v>#VALUE!</v>
      </c>
      <c r="P555" t="e">
        <f>IF(SEARCH("NIFTY",O555),RIGHT(A555,7),0)</f>
        <v>#VALUE!</v>
      </c>
      <c r="S555">
        <v>0</v>
      </c>
    </row>
    <row r="556" spans="1:19" x14ac:dyDescent="0.3">
      <c r="A556" s="1" t="s">
        <v>555</v>
      </c>
      <c r="B556" s="2">
        <v>45043</v>
      </c>
      <c r="C556" s="3">
        <v>1000</v>
      </c>
      <c r="D556" s="3">
        <v>30.63</v>
      </c>
      <c r="E556" s="3">
        <v>30625</v>
      </c>
      <c r="F556" s="3">
        <v>1000</v>
      </c>
      <c r="G556" s="3">
        <v>30.01</v>
      </c>
      <c r="H556" s="3">
        <f t="shared" si="102"/>
        <v>-0.61999999999999744</v>
      </c>
      <c r="I556" s="3">
        <v>30011.25</v>
      </c>
      <c r="J556" s="3" t="s">
        <v>1</v>
      </c>
      <c r="K556" s="3" t="s">
        <v>1</v>
      </c>
      <c r="L556" s="3" t="s">
        <v>1</v>
      </c>
      <c r="M556" s="4">
        <v>-613.75</v>
      </c>
      <c r="N556" s="5">
        <v>0</v>
      </c>
      <c r="O556" t="str">
        <f t="shared" si="103"/>
        <v>BANKNIFTY</v>
      </c>
      <c r="P556" t="str">
        <f>IF(SEARCH("NIFTY",O556),RIGHT(A556,7),0)</f>
        <v>42100PE</v>
      </c>
      <c r="Q556">
        <f t="shared" ref="Q556:Q558" si="108">M556/C556</f>
        <v>-0.61375000000000002</v>
      </c>
      <c r="S556">
        <v>0</v>
      </c>
    </row>
    <row r="557" spans="1:19" x14ac:dyDescent="0.3">
      <c r="A557" s="1" t="s">
        <v>556</v>
      </c>
      <c r="B557" s="2">
        <v>45064</v>
      </c>
      <c r="C557" s="3">
        <v>250</v>
      </c>
      <c r="D557" s="3">
        <v>70.75</v>
      </c>
      <c r="E557" s="3">
        <v>17687.5</v>
      </c>
      <c r="F557" s="3">
        <v>250</v>
      </c>
      <c r="G557" s="3">
        <v>58.85</v>
      </c>
      <c r="H557" s="3">
        <f t="shared" si="102"/>
        <v>-11.899999999999999</v>
      </c>
      <c r="I557" s="3">
        <v>14711.25</v>
      </c>
      <c r="J557" s="3" t="s">
        <v>1</v>
      </c>
      <c r="K557" s="3" t="s">
        <v>1</v>
      </c>
      <c r="L557" s="3" t="s">
        <v>1</v>
      </c>
      <c r="M557" s="4">
        <v>-2976.25</v>
      </c>
      <c r="N557" s="5">
        <v>0</v>
      </c>
      <c r="O557" t="str">
        <f t="shared" si="103"/>
        <v>BANKNIFTY</v>
      </c>
      <c r="P557" t="str">
        <f>IF(SEARCH("NIFTY",O557),RIGHT(A557,7),0)</f>
        <v>43900CE</v>
      </c>
      <c r="Q557">
        <f t="shared" si="108"/>
        <v>-11.904999999999999</v>
      </c>
      <c r="S557">
        <v>0</v>
      </c>
    </row>
    <row r="558" spans="1:19" x14ac:dyDescent="0.3">
      <c r="A558" s="1" t="s">
        <v>557</v>
      </c>
      <c r="B558" s="2">
        <v>45134</v>
      </c>
      <c r="C558" s="3">
        <v>210</v>
      </c>
      <c r="D558" s="3">
        <v>79.77</v>
      </c>
      <c r="E558" s="3">
        <v>16751.25</v>
      </c>
      <c r="F558" s="3">
        <v>210</v>
      </c>
      <c r="G558" s="3">
        <v>70.56</v>
      </c>
      <c r="H558" s="3">
        <f t="shared" si="102"/>
        <v>-9.2099999999999937</v>
      </c>
      <c r="I558" s="3">
        <v>14817</v>
      </c>
      <c r="J558" s="3" t="s">
        <v>1</v>
      </c>
      <c r="K558" s="3" t="s">
        <v>1</v>
      </c>
      <c r="L558" s="3" t="s">
        <v>1</v>
      </c>
      <c r="M558" s="4">
        <v>-1934.25</v>
      </c>
      <c r="N558" s="5">
        <v>0</v>
      </c>
      <c r="O558" t="str">
        <f t="shared" si="103"/>
        <v>BANKNIFTY</v>
      </c>
      <c r="P558" t="str">
        <f>IF(SEARCH("NIFTY",O558),RIGHT(A558,7),0)</f>
        <v>45200PE</v>
      </c>
      <c r="Q558">
        <f t="shared" si="108"/>
        <v>-9.2107142857142854</v>
      </c>
      <c r="S558">
        <v>0</v>
      </c>
    </row>
    <row r="559" spans="1:19" hidden="1" x14ac:dyDescent="0.3">
      <c r="A559" s="1" t="s">
        <v>558</v>
      </c>
      <c r="B559" s="2">
        <v>45036</v>
      </c>
      <c r="C559" s="3">
        <v>12250</v>
      </c>
      <c r="D559" s="3">
        <v>8.02</v>
      </c>
      <c r="E559" s="3">
        <v>98187.5</v>
      </c>
      <c r="F559" s="3">
        <v>12250</v>
      </c>
      <c r="G559" s="3">
        <v>6.51</v>
      </c>
      <c r="H559" s="3">
        <f t="shared" si="102"/>
        <v>-1.5099999999999998</v>
      </c>
      <c r="I559" s="3">
        <v>79765</v>
      </c>
      <c r="J559" s="3" t="s">
        <v>1</v>
      </c>
      <c r="K559" s="3" t="s">
        <v>1</v>
      </c>
      <c r="L559" s="3" t="s">
        <v>1</v>
      </c>
      <c r="M559" s="4">
        <v>-18422.5</v>
      </c>
      <c r="N559" s="5">
        <v>0</v>
      </c>
      <c r="O559" t="str">
        <f t="shared" si="103"/>
        <v>NIFTY</v>
      </c>
      <c r="P559" t="str">
        <f>IF(SEARCH("NIFTY",O559),RIGHT(A559,7),0)</f>
        <v>17550PE</v>
      </c>
      <c r="S559">
        <v>0</v>
      </c>
    </row>
    <row r="560" spans="1:19" hidden="1" x14ac:dyDescent="0.3">
      <c r="A560" s="1" t="s">
        <v>559</v>
      </c>
      <c r="B560" s="2">
        <v>45097</v>
      </c>
      <c r="C560" s="3">
        <v>3600</v>
      </c>
      <c r="D560" s="3">
        <v>30.27</v>
      </c>
      <c r="E560" s="3">
        <v>108960</v>
      </c>
      <c r="F560" s="3">
        <v>3600</v>
      </c>
      <c r="G560" s="3">
        <v>28.76</v>
      </c>
      <c r="H560" s="3">
        <f t="shared" si="102"/>
        <v>-1.509999999999998</v>
      </c>
      <c r="I560" s="3">
        <v>103546</v>
      </c>
      <c r="J560" s="3" t="s">
        <v>1</v>
      </c>
      <c r="K560" s="3" t="s">
        <v>1</v>
      </c>
      <c r="L560" s="3" t="s">
        <v>1</v>
      </c>
      <c r="M560" s="4">
        <v>-5414</v>
      </c>
      <c r="N560" s="5">
        <v>0</v>
      </c>
      <c r="O560" t="str">
        <f t="shared" si="103"/>
        <v>FINNIFTY</v>
      </c>
      <c r="P560" t="str">
        <f>IF(SEARCH("NIFTY",O560),RIGHT(A560,7),0)</f>
        <v>19500CE</v>
      </c>
      <c r="S560">
        <v>0</v>
      </c>
    </row>
    <row r="561" spans="1:19" hidden="1" x14ac:dyDescent="0.3">
      <c r="A561" s="1" t="s">
        <v>560</v>
      </c>
      <c r="B561" s="2">
        <v>45132</v>
      </c>
      <c r="C561" s="3">
        <v>400</v>
      </c>
      <c r="D561" s="3">
        <v>2.2999999999999998</v>
      </c>
      <c r="E561" s="3">
        <v>920</v>
      </c>
      <c r="F561" s="3">
        <v>400</v>
      </c>
      <c r="G561" s="3">
        <v>17.5</v>
      </c>
      <c r="H561" s="3">
        <f t="shared" si="102"/>
        <v>15.2</v>
      </c>
      <c r="I561" s="3">
        <v>7000</v>
      </c>
      <c r="J561" s="3" t="s">
        <v>1</v>
      </c>
      <c r="K561" s="3" t="s">
        <v>1</v>
      </c>
      <c r="L561" s="3" t="s">
        <v>1</v>
      </c>
      <c r="M561" s="5">
        <v>6080</v>
      </c>
      <c r="N561" s="5">
        <v>0</v>
      </c>
      <c r="O561" t="str">
        <f t="shared" si="103"/>
        <v>FINNIFTY</v>
      </c>
      <c r="P561" t="str">
        <f>IF(SEARCH("NIFTY",O561),RIGHT(A561,7),0)</f>
        <v>20700CE</v>
      </c>
      <c r="S561">
        <v>0</v>
      </c>
    </row>
    <row r="562" spans="1:19" x14ac:dyDescent="0.3">
      <c r="A562" s="1" t="s">
        <v>561</v>
      </c>
      <c r="B562" s="2">
        <v>45064</v>
      </c>
      <c r="C562" s="3">
        <v>1500</v>
      </c>
      <c r="D562" s="3">
        <v>22.97</v>
      </c>
      <c r="E562" s="3">
        <v>34450</v>
      </c>
      <c r="F562" s="3">
        <v>1500</v>
      </c>
      <c r="G562" s="3">
        <v>19.82</v>
      </c>
      <c r="H562" s="3">
        <f t="shared" si="102"/>
        <v>-3.1499999999999986</v>
      </c>
      <c r="I562" s="3">
        <v>29725</v>
      </c>
      <c r="J562" s="3" t="s">
        <v>1</v>
      </c>
      <c r="K562" s="3" t="s">
        <v>1</v>
      </c>
      <c r="L562" s="3" t="s">
        <v>1</v>
      </c>
      <c r="M562" s="4">
        <v>-4725</v>
      </c>
      <c r="N562" s="5">
        <v>0</v>
      </c>
      <c r="O562" t="str">
        <f t="shared" si="103"/>
        <v>BANKNIFTY</v>
      </c>
      <c r="P562" t="str">
        <f>IF(SEARCH("NIFTY",O562),RIGHT(A562,7),0)</f>
        <v>42800PE</v>
      </c>
      <c r="Q562">
        <f t="shared" ref="Q562:Q563" si="109">M562/C562</f>
        <v>-3.15</v>
      </c>
      <c r="S562">
        <v>0</v>
      </c>
    </row>
    <row r="563" spans="1:19" x14ac:dyDescent="0.3">
      <c r="A563" s="1" t="s">
        <v>562</v>
      </c>
      <c r="B563" s="2">
        <v>45043</v>
      </c>
      <c r="C563" s="3">
        <v>500</v>
      </c>
      <c r="D563" s="3">
        <v>36.9</v>
      </c>
      <c r="E563" s="3">
        <v>18450</v>
      </c>
      <c r="F563" s="3">
        <v>500</v>
      </c>
      <c r="G563" s="3">
        <v>48.43</v>
      </c>
      <c r="H563" s="3">
        <f t="shared" si="102"/>
        <v>11.530000000000001</v>
      </c>
      <c r="I563" s="3">
        <v>24216.25</v>
      </c>
      <c r="J563" s="3" t="s">
        <v>1</v>
      </c>
      <c r="K563" s="3" t="s">
        <v>1</v>
      </c>
      <c r="L563" s="3" t="s">
        <v>1</v>
      </c>
      <c r="M563" s="5">
        <v>5766.25</v>
      </c>
      <c r="N563" s="5">
        <v>0</v>
      </c>
      <c r="O563" t="str">
        <f t="shared" si="103"/>
        <v>BANKNIFTY</v>
      </c>
      <c r="P563" t="str">
        <f>IF(SEARCH("NIFTY",O563),RIGHT(A563,7),0)</f>
        <v>41700PE</v>
      </c>
      <c r="Q563">
        <f t="shared" si="109"/>
        <v>11.532500000000001</v>
      </c>
      <c r="S563">
        <v>0</v>
      </c>
    </row>
    <row r="564" spans="1:19" hidden="1" x14ac:dyDescent="0.3">
      <c r="A564" s="1" t="s">
        <v>563</v>
      </c>
      <c r="B564" s="2">
        <v>45099</v>
      </c>
      <c r="C564" s="3">
        <v>3000</v>
      </c>
      <c r="D564" s="3">
        <v>2.4</v>
      </c>
      <c r="E564" s="3">
        <v>7200</v>
      </c>
      <c r="F564" s="3">
        <v>3000</v>
      </c>
      <c r="G564" s="3">
        <v>2.13</v>
      </c>
      <c r="H564" s="3">
        <f t="shared" si="102"/>
        <v>-0.27</v>
      </c>
      <c r="I564" s="3">
        <v>6375</v>
      </c>
      <c r="J564" s="3" t="s">
        <v>1</v>
      </c>
      <c r="K564" s="3" t="s">
        <v>1</v>
      </c>
      <c r="L564" s="3" t="s">
        <v>1</v>
      </c>
      <c r="M564" s="4">
        <v>-825</v>
      </c>
      <c r="N564" s="5">
        <v>0</v>
      </c>
      <c r="O564" t="str">
        <f t="shared" si="103"/>
        <v>NIFTY</v>
      </c>
      <c r="P564" t="str">
        <f>IF(SEARCH("NIFTY",O564),RIGHT(A564,7),0)</f>
        <v>18500PE</v>
      </c>
      <c r="S564">
        <v>0</v>
      </c>
    </row>
    <row r="565" spans="1:19" hidden="1" x14ac:dyDescent="0.3">
      <c r="A565" s="1" t="s">
        <v>564</v>
      </c>
      <c r="B565" s="2">
        <v>45105</v>
      </c>
      <c r="C565" s="3">
        <v>2500</v>
      </c>
      <c r="D565" s="3">
        <v>1.89</v>
      </c>
      <c r="E565" s="3">
        <v>4725</v>
      </c>
      <c r="F565" s="3">
        <v>2500</v>
      </c>
      <c r="G565" s="3">
        <v>1.92</v>
      </c>
      <c r="H565" s="3">
        <f t="shared" si="102"/>
        <v>3.0000000000000027E-2</v>
      </c>
      <c r="I565" s="3">
        <v>4800</v>
      </c>
      <c r="J565" s="3" t="s">
        <v>1</v>
      </c>
      <c r="K565" s="3" t="s">
        <v>1</v>
      </c>
      <c r="L565" s="3" t="s">
        <v>1</v>
      </c>
      <c r="M565" s="5">
        <v>75</v>
      </c>
      <c r="N565" s="5">
        <v>0</v>
      </c>
      <c r="O565" t="str">
        <f t="shared" si="103"/>
        <v>NIFTY</v>
      </c>
      <c r="P565" t="str">
        <f>IF(SEARCH("NIFTY",O565),RIGHT(A565,7),0)</f>
        <v>18500PE</v>
      </c>
      <c r="S565">
        <v>0</v>
      </c>
    </row>
    <row r="566" spans="1:19" x14ac:dyDescent="0.3">
      <c r="A566" s="1" t="s">
        <v>565</v>
      </c>
      <c r="B566" s="2">
        <v>45092</v>
      </c>
      <c r="C566" s="3">
        <v>800</v>
      </c>
      <c r="D566" s="3">
        <v>7.05</v>
      </c>
      <c r="E566" s="3">
        <v>5640</v>
      </c>
      <c r="F566" s="3">
        <v>800</v>
      </c>
      <c r="G566" s="3">
        <v>5.38</v>
      </c>
      <c r="H566" s="3">
        <f t="shared" si="102"/>
        <v>-1.67</v>
      </c>
      <c r="I566" s="3">
        <v>4302.5</v>
      </c>
      <c r="J566" s="3" t="s">
        <v>1</v>
      </c>
      <c r="K566" s="3" t="s">
        <v>1</v>
      </c>
      <c r="L566" s="3" t="s">
        <v>1</v>
      </c>
      <c r="M566" s="4">
        <v>-1337.5</v>
      </c>
      <c r="N566" s="5">
        <v>0</v>
      </c>
      <c r="O566" t="str">
        <f t="shared" si="103"/>
        <v>BANKNIFTY</v>
      </c>
      <c r="P566" t="str">
        <f>IF(SEARCH("NIFTY",O566),RIGHT(A566,7),0)</f>
        <v>42200PE</v>
      </c>
      <c r="Q566">
        <f t="shared" ref="Q566:Q578" si="110">M566/C566</f>
        <v>-1.671875</v>
      </c>
      <c r="S566">
        <v>0</v>
      </c>
    </row>
    <row r="567" spans="1:19" x14ac:dyDescent="0.3">
      <c r="A567" s="1" t="s">
        <v>566</v>
      </c>
      <c r="B567" s="2">
        <v>45036</v>
      </c>
      <c r="C567" s="3">
        <v>3650</v>
      </c>
      <c r="D567" s="3">
        <v>27.82</v>
      </c>
      <c r="E567" s="3">
        <v>101542.5</v>
      </c>
      <c r="F567" s="3">
        <v>3650</v>
      </c>
      <c r="G567" s="3">
        <v>27.07</v>
      </c>
      <c r="H567" s="3">
        <f t="shared" si="102"/>
        <v>-0.75</v>
      </c>
      <c r="I567" s="3">
        <v>98802.5</v>
      </c>
      <c r="J567" s="3" t="s">
        <v>1</v>
      </c>
      <c r="K567" s="3" t="s">
        <v>1</v>
      </c>
      <c r="L567" s="3" t="s">
        <v>1</v>
      </c>
      <c r="M567" s="4">
        <v>-2740</v>
      </c>
      <c r="N567" s="5">
        <v>0</v>
      </c>
      <c r="O567" t="str">
        <f t="shared" si="103"/>
        <v>BANKNIFTY</v>
      </c>
      <c r="P567" t="str">
        <f>IF(SEARCH("NIFTY",O567),RIGHT(A567,7),0)</f>
        <v>41800PE</v>
      </c>
      <c r="Q567">
        <f t="shared" si="110"/>
        <v>-0.75068493150684934</v>
      </c>
      <c r="S567">
        <v>0</v>
      </c>
    </row>
    <row r="568" spans="1:19" x14ac:dyDescent="0.3">
      <c r="A568" s="1" t="s">
        <v>567</v>
      </c>
      <c r="B568" s="2">
        <v>45071</v>
      </c>
      <c r="C568" s="3">
        <v>1300</v>
      </c>
      <c r="D568" s="3">
        <v>11.45</v>
      </c>
      <c r="E568" s="3">
        <v>14887.5</v>
      </c>
      <c r="F568" s="3">
        <v>1300</v>
      </c>
      <c r="G568" s="3">
        <v>14.79</v>
      </c>
      <c r="H568" s="3">
        <f t="shared" si="102"/>
        <v>3.34</v>
      </c>
      <c r="I568" s="3">
        <v>19232.5</v>
      </c>
      <c r="J568" s="3" t="s">
        <v>1</v>
      </c>
      <c r="K568" s="3" t="s">
        <v>1</v>
      </c>
      <c r="L568" s="3" t="s">
        <v>1</v>
      </c>
      <c r="M568" s="5">
        <v>4345</v>
      </c>
      <c r="N568" s="5">
        <v>0</v>
      </c>
      <c r="O568" t="str">
        <f t="shared" si="103"/>
        <v>BANKNIFTY</v>
      </c>
      <c r="P568" t="str">
        <f>IF(SEARCH("NIFTY",O568),RIGHT(A568,7),0)</f>
        <v>44500CE</v>
      </c>
      <c r="Q568">
        <f t="shared" si="110"/>
        <v>3.3423076923076924</v>
      </c>
      <c r="S568">
        <v>0</v>
      </c>
    </row>
    <row r="569" spans="1:19" x14ac:dyDescent="0.3">
      <c r="A569" s="1" t="s">
        <v>568</v>
      </c>
      <c r="B569" s="2">
        <v>45085</v>
      </c>
      <c r="C569" s="3">
        <v>8950</v>
      </c>
      <c r="D569" s="3">
        <v>16.86</v>
      </c>
      <c r="E569" s="3">
        <v>150885</v>
      </c>
      <c r="F569" s="3">
        <v>8950</v>
      </c>
      <c r="G569" s="3">
        <v>16.170000000000002</v>
      </c>
      <c r="H569" s="3">
        <f t="shared" si="102"/>
        <v>-0.68999999999999773</v>
      </c>
      <c r="I569" s="3">
        <v>144702.5</v>
      </c>
      <c r="J569" s="3" t="s">
        <v>1</v>
      </c>
      <c r="K569" s="3" t="s">
        <v>1</v>
      </c>
      <c r="L569" s="3" t="s">
        <v>1</v>
      </c>
      <c r="M569" s="4">
        <v>-6182.5</v>
      </c>
      <c r="N569" s="5">
        <v>0</v>
      </c>
      <c r="O569" t="str">
        <f t="shared" si="103"/>
        <v>BANKNIFTY</v>
      </c>
      <c r="P569" t="str">
        <f>IF(SEARCH("NIFTY",O569),RIGHT(A569,7),0)</f>
        <v>44000PE</v>
      </c>
      <c r="Q569">
        <f t="shared" si="110"/>
        <v>-0.69078212290502794</v>
      </c>
      <c r="S569">
        <v>0</v>
      </c>
    </row>
    <row r="570" spans="1:19" x14ac:dyDescent="0.3">
      <c r="A570" s="1" t="s">
        <v>569</v>
      </c>
      <c r="B570" s="2">
        <v>45099</v>
      </c>
      <c r="C570" s="3">
        <v>1350</v>
      </c>
      <c r="D570" s="3">
        <v>6.7</v>
      </c>
      <c r="E570" s="3">
        <v>9045</v>
      </c>
      <c r="F570" s="3">
        <v>1350</v>
      </c>
      <c r="G570" s="3">
        <v>6.54</v>
      </c>
      <c r="H570" s="3">
        <f t="shared" si="102"/>
        <v>-0.16000000000000014</v>
      </c>
      <c r="I570" s="3">
        <v>8823.75</v>
      </c>
      <c r="J570" s="3" t="s">
        <v>1</v>
      </c>
      <c r="K570" s="3" t="s">
        <v>1</v>
      </c>
      <c r="L570" s="3" t="s">
        <v>1</v>
      </c>
      <c r="M570" s="4">
        <v>-221.25</v>
      </c>
      <c r="N570" s="5">
        <v>0</v>
      </c>
      <c r="O570" t="str">
        <f t="shared" si="103"/>
        <v>BANKNIFTY</v>
      </c>
      <c r="P570" t="str">
        <f>IF(SEARCH("NIFTY",O570),RIGHT(A570,7),0)</f>
        <v>45500CE</v>
      </c>
      <c r="Q570">
        <f t="shared" si="110"/>
        <v>-0.16388888888888889</v>
      </c>
      <c r="S570">
        <v>0</v>
      </c>
    </row>
    <row r="571" spans="1:19" x14ac:dyDescent="0.3">
      <c r="A571" s="1" t="s">
        <v>570</v>
      </c>
      <c r="B571" s="2">
        <v>45099</v>
      </c>
      <c r="C571" s="3">
        <v>1350</v>
      </c>
      <c r="D571" s="3">
        <v>6.43</v>
      </c>
      <c r="E571" s="3">
        <v>8677.5</v>
      </c>
      <c r="F571" s="3">
        <v>1350</v>
      </c>
      <c r="G571" s="3">
        <v>5.38</v>
      </c>
      <c r="H571" s="3">
        <f t="shared" si="102"/>
        <v>-1.0499999999999998</v>
      </c>
      <c r="I571" s="3">
        <v>7256.25</v>
      </c>
      <c r="J571" s="3" t="s">
        <v>1</v>
      </c>
      <c r="K571" s="3" t="s">
        <v>1</v>
      </c>
      <c r="L571" s="3" t="s">
        <v>1</v>
      </c>
      <c r="M571" s="4">
        <v>-1421.25</v>
      </c>
      <c r="N571" s="5">
        <v>0</v>
      </c>
      <c r="O571" t="str">
        <f t="shared" si="103"/>
        <v>BANKNIFTY</v>
      </c>
      <c r="P571" t="str">
        <f>IF(SEARCH("NIFTY",O571),RIGHT(A571,7),0)</f>
        <v>41500PE</v>
      </c>
      <c r="Q571">
        <f t="shared" si="110"/>
        <v>-1.0527777777777778</v>
      </c>
      <c r="S571">
        <v>0</v>
      </c>
    </row>
    <row r="572" spans="1:19" x14ac:dyDescent="0.3">
      <c r="A572" s="1" t="s">
        <v>571</v>
      </c>
      <c r="B572" s="2">
        <v>45092</v>
      </c>
      <c r="C572" s="3">
        <v>800</v>
      </c>
      <c r="D572" s="3">
        <v>6.28</v>
      </c>
      <c r="E572" s="3">
        <v>5020</v>
      </c>
      <c r="F572" s="3">
        <v>800</v>
      </c>
      <c r="G572" s="3">
        <v>5.95</v>
      </c>
      <c r="H572" s="3">
        <f t="shared" si="102"/>
        <v>-0.33000000000000007</v>
      </c>
      <c r="I572" s="3">
        <v>4761.25</v>
      </c>
      <c r="J572" s="3" t="s">
        <v>1</v>
      </c>
      <c r="K572" s="3" t="s">
        <v>1</v>
      </c>
      <c r="L572" s="3" t="s">
        <v>1</v>
      </c>
      <c r="M572" s="4">
        <v>-258.75</v>
      </c>
      <c r="N572" s="5">
        <v>0</v>
      </c>
      <c r="O572" t="str">
        <f t="shared" si="103"/>
        <v>BANKNIFTY</v>
      </c>
      <c r="P572" t="str">
        <f>IF(SEARCH("NIFTY",O572),RIGHT(A572,7),0)</f>
        <v>45700CE</v>
      </c>
      <c r="Q572">
        <f t="shared" si="110"/>
        <v>-0.32343749999999999</v>
      </c>
      <c r="S572">
        <v>0</v>
      </c>
    </row>
    <row r="573" spans="1:19" x14ac:dyDescent="0.3">
      <c r="A573" s="1" t="s">
        <v>572</v>
      </c>
      <c r="B573" s="2">
        <v>45113</v>
      </c>
      <c r="C573" s="3">
        <v>1800</v>
      </c>
      <c r="D573" s="3">
        <v>44.98</v>
      </c>
      <c r="E573" s="3">
        <v>80968.75</v>
      </c>
      <c r="F573" s="3">
        <v>1800</v>
      </c>
      <c r="G573" s="3">
        <v>46.15</v>
      </c>
      <c r="H573" s="3">
        <f t="shared" si="102"/>
        <v>1.1700000000000017</v>
      </c>
      <c r="I573" s="3">
        <v>83078.75</v>
      </c>
      <c r="J573" s="3" t="s">
        <v>1</v>
      </c>
      <c r="K573" s="3" t="s">
        <v>1</v>
      </c>
      <c r="L573" s="3" t="s">
        <v>1</v>
      </c>
      <c r="M573" s="5">
        <v>2110</v>
      </c>
      <c r="N573" s="5">
        <v>0</v>
      </c>
      <c r="O573" t="str">
        <f t="shared" si="103"/>
        <v>BANKNIFTY</v>
      </c>
      <c r="P573" t="str">
        <f>IF(SEARCH("NIFTY",O573),RIGHT(A573,7),0)</f>
        <v>45700CE</v>
      </c>
      <c r="Q573">
        <f t="shared" si="110"/>
        <v>1.1722222222222223</v>
      </c>
      <c r="S573">
        <v>0</v>
      </c>
    </row>
    <row r="574" spans="1:19" x14ac:dyDescent="0.3">
      <c r="A574" s="1" t="s">
        <v>573</v>
      </c>
      <c r="B574" s="2">
        <v>45113</v>
      </c>
      <c r="C574" s="3">
        <v>6600</v>
      </c>
      <c r="D574" s="3">
        <v>94.64</v>
      </c>
      <c r="E574" s="3">
        <v>624647.5</v>
      </c>
      <c r="F574" s="3">
        <v>6600</v>
      </c>
      <c r="G574" s="3">
        <v>92.59</v>
      </c>
      <c r="H574" s="3">
        <f t="shared" si="102"/>
        <v>-2.0499999999999972</v>
      </c>
      <c r="I574" s="3">
        <v>611121.25</v>
      </c>
      <c r="J574" s="3" t="s">
        <v>1</v>
      </c>
      <c r="K574" s="3" t="s">
        <v>1</v>
      </c>
      <c r="L574" s="3" t="s">
        <v>1</v>
      </c>
      <c r="M574" s="4">
        <v>-13526.25</v>
      </c>
      <c r="N574" s="5">
        <v>0</v>
      </c>
      <c r="O574" t="str">
        <f t="shared" si="103"/>
        <v>BANKNIFTY</v>
      </c>
      <c r="P574" t="str">
        <f>IF(SEARCH("NIFTY",O574),RIGHT(A574,7),0)</f>
        <v>45200PE</v>
      </c>
      <c r="Q574">
        <f t="shared" si="110"/>
        <v>-2.0494318181818181</v>
      </c>
      <c r="S574">
        <v>0</v>
      </c>
    </row>
    <row r="575" spans="1:19" x14ac:dyDescent="0.3">
      <c r="A575" s="1" t="s">
        <v>574</v>
      </c>
      <c r="B575" s="2">
        <v>45099</v>
      </c>
      <c r="C575" s="3">
        <v>2200</v>
      </c>
      <c r="D575" s="3">
        <v>19.350000000000001</v>
      </c>
      <c r="E575" s="3">
        <v>42568.75</v>
      </c>
      <c r="F575" s="3">
        <v>2200</v>
      </c>
      <c r="G575" s="3">
        <v>20.79</v>
      </c>
      <c r="H575" s="3">
        <f t="shared" si="102"/>
        <v>1.4399999999999977</v>
      </c>
      <c r="I575" s="3">
        <v>45748.75</v>
      </c>
      <c r="J575" s="3" t="s">
        <v>1</v>
      </c>
      <c r="K575" s="3" t="s">
        <v>1</v>
      </c>
      <c r="L575" s="3" t="s">
        <v>1</v>
      </c>
      <c r="M575" s="5">
        <v>3180</v>
      </c>
      <c r="N575" s="5">
        <v>0</v>
      </c>
      <c r="O575" t="str">
        <f t="shared" si="103"/>
        <v>BANKNIFTY</v>
      </c>
      <c r="P575" t="str">
        <f>IF(SEARCH("NIFTY",O575),RIGHT(A575,7),0)</f>
        <v>44800CE</v>
      </c>
      <c r="Q575">
        <f t="shared" si="110"/>
        <v>1.4454545454545455</v>
      </c>
      <c r="S575">
        <v>0</v>
      </c>
    </row>
    <row r="576" spans="1:19" x14ac:dyDescent="0.3">
      <c r="A576" s="1" t="s">
        <v>575</v>
      </c>
      <c r="B576" s="2">
        <v>45105</v>
      </c>
      <c r="C576" s="3">
        <v>1225</v>
      </c>
      <c r="D576" s="3">
        <v>46.85</v>
      </c>
      <c r="E576" s="3">
        <v>57388.75</v>
      </c>
      <c r="F576" s="3">
        <v>1225</v>
      </c>
      <c r="G576" s="3">
        <v>58.34</v>
      </c>
      <c r="H576" s="3">
        <f t="shared" si="102"/>
        <v>11.490000000000002</v>
      </c>
      <c r="I576" s="3">
        <v>71467.5</v>
      </c>
      <c r="J576" s="3" t="s">
        <v>1</v>
      </c>
      <c r="K576" s="3" t="s">
        <v>1</v>
      </c>
      <c r="L576" s="3" t="s">
        <v>1</v>
      </c>
      <c r="M576" s="5">
        <v>14078.75</v>
      </c>
      <c r="N576" s="5">
        <v>0</v>
      </c>
      <c r="O576" t="str">
        <f t="shared" si="103"/>
        <v>BANKNIFTY</v>
      </c>
      <c r="P576" t="str">
        <f>IF(SEARCH("NIFTY",O576),RIGHT(A576,7),0)</f>
        <v>43800PE</v>
      </c>
      <c r="Q576">
        <f t="shared" si="110"/>
        <v>11.492857142857142</v>
      </c>
      <c r="S576">
        <v>0</v>
      </c>
    </row>
    <row r="577" spans="1:19" x14ac:dyDescent="0.3">
      <c r="A577" s="1" t="s">
        <v>576</v>
      </c>
      <c r="B577" s="2">
        <v>45099</v>
      </c>
      <c r="C577" s="3">
        <v>1000</v>
      </c>
      <c r="D577" s="3">
        <v>36.22</v>
      </c>
      <c r="E577" s="3">
        <v>36217.5</v>
      </c>
      <c r="F577" s="3">
        <v>1000</v>
      </c>
      <c r="G577" s="3">
        <v>29.48</v>
      </c>
      <c r="H577" s="3">
        <f t="shared" si="102"/>
        <v>-6.7399999999999984</v>
      </c>
      <c r="I577" s="3">
        <v>29476.25</v>
      </c>
      <c r="J577" s="3" t="s">
        <v>1</v>
      </c>
      <c r="K577" s="3" t="s">
        <v>1</v>
      </c>
      <c r="L577" s="3" t="s">
        <v>1</v>
      </c>
      <c r="M577" s="4">
        <v>-6741.25</v>
      </c>
      <c r="N577" s="5">
        <v>0</v>
      </c>
      <c r="O577" t="str">
        <f t="shared" si="103"/>
        <v>BANKNIFTY</v>
      </c>
      <c r="P577" t="str">
        <f>IF(SEARCH("NIFTY",O577),RIGHT(A577,7),0)</f>
        <v>43700PE</v>
      </c>
      <c r="Q577">
        <f t="shared" si="110"/>
        <v>-6.74125</v>
      </c>
      <c r="S577">
        <v>0</v>
      </c>
    </row>
    <row r="578" spans="1:19" x14ac:dyDescent="0.3">
      <c r="A578" s="1" t="s">
        <v>577</v>
      </c>
      <c r="B578" s="2">
        <v>45050</v>
      </c>
      <c r="C578" s="3">
        <v>17500</v>
      </c>
      <c r="D578" s="3">
        <v>11.52</v>
      </c>
      <c r="E578" s="3">
        <v>201526.25</v>
      </c>
      <c r="F578" s="3">
        <v>17500</v>
      </c>
      <c r="G578" s="3">
        <v>12.39</v>
      </c>
      <c r="H578" s="3">
        <f t="shared" si="102"/>
        <v>0.87000000000000099</v>
      </c>
      <c r="I578" s="3">
        <v>216752.5</v>
      </c>
      <c r="J578" s="3" t="s">
        <v>1</v>
      </c>
      <c r="K578" s="3" t="s">
        <v>1</v>
      </c>
      <c r="L578" s="3" t="s">
        <v>1</v>
      </c>
      <c r="M578" s="5">
        <v>15226.25</v>
      </c>
      <c r="N578" s="5">
        <v>0</v>
      </c>
      <c r="O578" t="str">
        <f t="shared" si="103"/>
        <v>BANKNIFTY</v>
      </c>
      <c r="P578" t="str">
        <f>IF(SEARCH("NIFTY",O578),RIGHT(A578,7),0)</f>
        <v>43700CE</v>
      </c>
      <c r="Q578">
        <f t="shared" si="110"/>
        <v>0.87007142857142861</v>
      </c>
      <c r="S578">
        <v>0</v>
      </c>
    </row>
    <row r="579" spans="1:19" hidden="1" x14ac:dyDescent="0.3">
      <c r="A579" s="1" t="s">
        <v>578</v>
      </c>
      <c r="B579" s="2">
        <v>45048</v>
      </c>
      <c r="C579" s="3">
        <v>3000</v>
      </c>
      <c r="D579" s="3">
        <v>0.87</v>
      </c>
      <c r="E579" s="3">
        <v>2624</v>
      </c>
      <c r="F579" s="3">
        <v>3000</v>
      </c>
      <c r="G579" s="3">
        <v>5.55</v>
      </c>
      <c r="H579" s="3">
        <f t="shared" ref="H579:H642" si="111">G579-D579</f>
        <v>4.68</v>
      </c>
      <c r="I579" s="3">
        <v>16650</v>
      </c>
      <c r="J579" s="3" t="s">
        <v>1</v>
      </c>
      <c r="K579" s="3" t="s">
        <v>1</v>
      </c>
      <c r="L579" s="3" t="s">
        <v>1</v>
      </c>
      <c r="M579" s="5">
        <v>14026</v>
      </c>
      <c r="N579" s="5">
        <v>0</v>
      </c>
      <c r="O579" t="str">
        <f t="shared" ref="O579:O642" si="112">LEFT(A579, FIND("NIFTY", A579) +4)</f>
        <v>FINNIFTY</v>
      </c>
      <c r="P579" t="str">
        <f>IF(SEARCH("NIFTY",O579),RIGHT(A579,7),0)</f>
        <v>19300CE</v>
      </c>
      <c r="S579">
        <v>0</v>
      </c>
    </row>
    <row r="580" spans="1:19" x14ac:dyDescent="0.3">
      <c r="A580" s="1" t="s">
        <v>579</v>
      </c>
      <c r="B580" s="2">
        <v>45071</v>
      </c>
      <c r="C580" s="3">
        <v>1500</v>
      </c>
      <c r="D580" s="3">
        <v>24.6</v>
      </c>
      <c r="E580" s="3">
        <v>36893.75</v>
      </c>
      <c r="F580" s="3">
        <v>1500</v>
      </c>
      <c r="G580" s="3">
        <v>34.65</v>
      </c>
      <c r="H580" s="3">
        <f t="shared" si="111"/>
        <v>10.049999999999997</v>
      </c>
      <c r="I580" s="3">
        <v>51967.5</v>
      </c>
      <c r="J580" s="3" t="s">
        <v>1</v>
      </c>
      <c r="K580" s="3" t="s">
        <v>1</v>
      </c>
      <c r="L580" s="3" t="s">
        <v>1</v>
      </c>
      <c r="M580" s="5">
        <v>15073.75</v>
      </c>
      <c r="N580" s="5">
        <v>0</v>
      </c>
      <c r="O580" t="str">
        <f t="shared" si="112"/>
        <v>BANKNIFTY</v>
      </c>
      <c r="P580" t="str">
        <f>IF(SEARCH("NIFTY",O580),RIGHT(A580,7),0)</f>
        <v>43400PE</v>
      </c>
      <c r="Q580">
        <f t="shared" ref="Q580:Q586" si="113">M580/C580</f>
        <v>10.049166666666666</v>
      </c>
      <c r="S580">
        <v>0</v>
      </c>
    </row>
    <row r="581" spans="1:19" x14ac:dyDescent="0.3">
      <c r="A581" s="1" t="s">
        <v>580</v>
      </c>
      <c r="B581" s="2">
        <v>45162</v>
      </c>
      <c r="C581" s="3">
        <v>4095</v>
      </c>
      <c r="D581" s="3">
        <v>9.4</v>
      </c>
      <c r="E581" s="3">
        <v>38476.5</v>
      </c>
      <c r="F581" s="3">
        <v>4095</v>
      </c>
      <c r="G581" s="3">
        <v>14.84</v>
      </c>
      <c r="H581" s="3">
        <f t="shared" si="111"/>
        <v>5.4399999999999995</v>
      </c>
      <c r="I581" s="3">
        <v>60770.25</v>
      </c>
      <c r="J581" s="3" t="s">
        <v>1</v>
      </c>
      <c r="K581" s="3" t="s">
        <v>1</v>
      </c>
      <c r="L581" s="3" t="s">
        <v>1</v>
      </c>
      <c r="M581" s="5">
        <v>22293.75</v>
      </c>
      <c r="N581" s="5">
        <v>0</v>
      </c>
      <c r="O581" t="str">
        <f t="shared" si="112"/>
        <v>BANKNIFTY</v>
      </c>
      <c r="P581" t="str">
        <f>IF(SEARCH("NIFTY",O581),RIGHT(A581,7),0)</f>
        <v>44400PE</v>
      </c>
      <c r="Q581">
        <f t="shared" si="113"/>
        <v>5.4441391941391943</v>
      </c>
      <c r="S581">
        <v>0</v>
      </c>
    </row>
    <row r="582" spans="1:19" x14ac:dyDescent="0.3">
      <c r="A582" s="1" t="s">
        <v>581</v>
      </c>
      <c r="B582" s="2">
        <v>45169</v>
      </c>
      <c r="C582" s="3">
        <v>990</v>
      </c>
      <c r="D582" s="3">
        <v>39.76</v>
      </c>
      <c r="E582" s="3">
        <v>39358.5</v>
      </c>
      <c r="F582" s="3">
        <v>990</v>
      </c>
      <c r="G582" s="3">
        <v>40.76</v>
      </c>
      <c r="H582" s="3">
        <f t="shared" si="111"/>
        <v>1</v>
      </c>
      <c r="I582" s="3">
        <v>40356.75</v>
      </c>
      <c r="J582" s="3" t="s">
        <v>1</v>
      </c>
      <c r="K582" s="3" t="s">
        <v>1</v>
      </c>
      <c r="L582" s="3" t="s">
        <v>1</v>
      </c>
      <c r="M582" s="5">
        <v>998.25</v>
      </c>
      <c r="N582" s="5">
        <v>0</v>
      </c>
      <c r="O582" t="str">
        <f t="shared" si="112"/>
        <v>BANKNIFTY</v>
      </c>
      <c r="P582" t="str">
        <f>IF(SEARCH("NIFTY",O582),RIGHT(A582,7),0)</f>
        <v>44900CE</v>
      </c>
      <c r="Q582">
        <f t="shared" si="113"/>
        <v>1.0083333333333333</v>
      </c>
      <c r="S582">
        <v>0</v>
      </c>
    </row>
    <row r="583" spans="1:19" x14ac:dyDescent="0.3">
      <c r="A583" s="1" t="s">
        <v>582</v>
      </c>
      <c r="B583" s="2">
        <v>45169</v>
      </c>
      <c r="C583" s="3">
        <v>495</v>
      </c>
      <c r="D583" s="3">
        <v>33.369999999999997</v>
      </c>
      <c r="E583" s="3">
        <v>16519.5</v>
      </c>
      <c r="F583" s="3">
        <v>495</v>
      </c>
      <c r="G583" s="3">
        <v>71.569999999999993</v>
      </c>
      <c r="H583" s="3">
        <f t="shared" si="111"/>
        <v>38.199999999999996</v>
      </c>
      <c r="I583" s="3">
        <v>35427</v>
      </c>
      <c r="J583" s="3" t="s">
        <v>1</v>
      </c>
      <c r="K583" s="3" t="s">
        <v>1</v>
      </c>
      <c r="L583" s="3" t="s">
        <v>1</v>
      </c>
      <c r="M583" s="5">
        <v>18907.5</v>
      </c>
      <c r="N583" s="5">
        <v>0</v>
      </c>
      <c r="O583" t="str">
        <f t="shared" si="112"/>
        <v>BANKNIFTY</v>
      </c>
      <c r="P583" t="str">
        <f>IF(SEARCH("NIFTY",O583),RIGHT(A583,7),0)</f>
        <v>44800CE</v>
      </c>
      <c r="Q583">
        <f t="shared" si="113"/>
        <v>38.196969696969695</v>
      </c>
      <c r="S583">
        <v>0</v>
      </c>
    </row>
    <row r="584" spans="1:19" x14ac:dyDescent="0.3">
      <c r="A584" s="1" t="s">
        <v>583</v>
      </c>
      <c r="B584" s="2">
        <v>45162</v>
      </c>
      <c r="C584" s="3">
        <v>1530</v>
      </c>
      <c r="D584" s="3">
        <v>7.1</v>
      </c>
      <c r="E584" s="3">
        <v>10863</v>
      </c>
      <c r="F584" s="3">
        <v>1530</v>
      </c>
      <c r="G584" s="3">
        <v>4</v>
      </c>
      <c r="H584" s="3">
        <f t="shared" si="111"/>
        <v>-3.0999999999999996</v>
      </c>
      <c r="I584" s="3">
        <v>6120</v>
      </c>
      <c r="J584" s="3" t="s">
        <v>1</v>
      </c>
      <c r="K584" s="3" t="s">
        <v>1</v>
      </c>
      <c r="L584" s="3" t="s">
        <v>1</v>
      </c>
      <c r="M584" s="4">
        <v>-4743</v>
      </c>
      <c r="N584" s="5">
        <v>0</v>
      </c>
      <c r="O584" t="str">
        <f t="shared" si="112"/>
        <v>BANKNIFTY</v>
      </c>
      <c r="P584" t="str">
        <f>IF(SEARCH("NIFTY",O584),RIGHT(A584,7),0)</f>
        <v>45500CE</v>
      </c>
      <c r="Q584">
        <f t="shared" si="113"/>
        <v>-3.1</v>
      </c>
      <c r="S584">
        <v>0</v>
      </c>
    </row>
    <row r="585" spans="1:19" x14ac:dyDescent="0.3">
      <c r="A585" s="1" t="s">
        <v>584</v>
      </c>
      <c r="B585" s="2">
        <v>45169</v>
      </c>
      <c r="C585" s="3">
        <v>3105</v>
      </c>
      <c r="D585" s="3">
        <v>8.98</v>
      </c>
      <c r="E585" s="3">
        <v>27893.25</v>
      </c>
      <c r="F585" s="3">
        <v>3105</v>
      </c>
      <c r="G585" s="3">
        <v>13.6</v>
      </c>
      <c r="H585" s="3">
        <f t="shared" si="111"/>
        <v>4.6199999999999992</v>
      </c>
      <c r="I585" s="3">
        <v>42222.75</v>
      </c>
      <c r="J585" s="3" t="s">
        <v>1</v>
      </c>
      <c r="K585" s="3" t="s">
        <v>1</v>
      </c>
      <c r="L585" s="3" t="s">
        <v>1</v>
      </c>
      <c r="M585" s="5">
        <v>14329.5</v>
      </c>
      <c r="N585" s="5">
        <v>0</v>
      </c>
      <c r="O585" t="str">
        <f t="shared" si="112"/>
        <v>BANKNIFTY</v>
      </c>
      <c r="P585" t="str">
        <f>IF(SEARCH("NIFTY",O585),RIGHT(A585,7),0)</f>
        <v>43700PE</v>
      </c>
      <c r="Q585">
        <f t="shared" si="113"/>
        <v>4.614975845410628</v>
      </c>
      <c r="S585">
        <v>0</v>
      </c>
    </row>
    <row r="586" spans="1:19" x14ac:dyDescent="0.3">
      <c r="A586" s="1" t="s">
        <v>585</v>
      </c>
      <c r="B586" s="2">
        <v>45057</v>
      </c>
      <c r="C586" s="3">
        <v>700</v>
      </c>
      <c r="D586" s="3">
        <v>24.5</v>
      </c>
      <c r="E586" s="3">
        <v>17150</v>
      </c>
      <c r="F586" s="3">
        <v>700</v>
      </c>
      <c r="G586" s="3">
        <v>28.22</v>
      </c>
      <c r="H586" s="3">
        <f t="shared" si="111"/>
        <v>3.7199999999999989</v>
      </c>
      <c r="I586" s="3">
        <v>19751.25</v>
      </c>
      <c r="J586" s="3" t="s">
        <v>1</v>
      </c>
      <c r="K586" s="3" t="s">
        <v>1</v>
      </c>
      <c r="L586" s="3" t="s">
        <v>1</v>
      </c>
      <c r="M586" s="5">
        <v>2601.25</v>
      </c>
      <c r="N586" s="5">
        <v>0</v>
      </c>
      <c r="O586" t="str">
        <f t="shared" si="112"/>
        <v>BANKNIFTY</v>
      </c>
      <c r="P586" t="str">
        <f>IF(SEARCH("NIFTY",O586),RIGHT(A586,7),0)</f>
        <v>41600PE</v>
      </c>
      <c r="Q586">
        <f t="shared" si="113"/>
        <v>3.7160714285714285</v>
      </c>
      <c r="S586">
        <v>0</v>
      </c>
    </row>
    <row r="587" spans="1:19" hidden="1" x14ac:dyDescent="0.3">
      <c r="A587" s="1" t="s">
        <v>586</v>
      </c>
      <c r="B587" s="2">
        <v>45057</v>
      </c>
      <c r="C587" s="3">
        <v>2250</v>
      </c>
      <c r="D587" s="3">
        <v>13.57</v>
      </c>
      <c r="E587" s="3">
        <v>30540</v>
      </c>
      <c r="F587" s="3">
        <v>2250</v>
      </c>
      <c r="G587" s="3">
        <v>15.29</v>
      </c>
      <c r="H587" s="3">
        <f t="shared" si="111"/>
        <v>1.7199999999999989</v>
      </c>
      <c r="I587" s="3">
        <v>34397.5</v>
      </c>
      <c r="J587" s="3" t="s">
        <v>1</v>
      </c>
      <c r="K587" s="3" t="s">
        <v>1</v>
      </c>
      <c r="L587" s="3" t="s">
        <v>1</v>
      </c>
      <c r="M587" s="5">
        <v>3857.5</v>
      </c>
      <c r="N587" s="5">
        <v>0</v>
      </c>
      <c r="O587" t="str">
        <f t="shared" si="112"/>
        <v>NIFTY</v>
      </c>
      <c r="P587" t="str">
        <f>IF(SEARCH("NIFTY",O587),RIGHT(A587,7),0)</f>
        <v>18450CE</v>
      </c>
      <c r="S587">
        <v>0</v>
      </c>
    </row>
    <row r="588" spans="1:19" x14ac:dyDescent="0.3">
      <c r="A588" s="1" t="s">
        <v>587</v>
      </c>
      <c r="B588" s="2">
        <v>45155</v>
      </c>
      <c r="C588" s="3">
        <v>150</v>
      </c>
      <c r="D588" s="3">
        <v>130.16</v>
      </c>
      <c r="E588" s="3">
        <v>19524</v>
      </c>
      <c r="F588" s="3">
        <v>150</v>
      </c>
      <c r="G588" s="3">
        <v>193.9</v>
      </c>
      <c r="H588" s="3">
        <f t="shared" si="111"/>
        <v>63.740000000000009</v>
      </c>
      <c r="I588" s="3">
        <v>29084.25</v>
      </c>
      <c r="J588" s="3" t="s">
        <v>1</v>
      </c>
      <c r="K588" s="3" t="s">
        <v>1</v>
      </c>
      <c r="L588" s="3" t="s">
        <v>1</v>
      </c>
      <c r="M588" s="5">
        <v>9560.25</v>
      </c>
      <c r="N588" s="5">
        <v>0</v>
      </c>
      <c r="O588" t="str">
        <f t="shared" si="112"/>
        <v>BANKNIFTY</v>
      </c>
      <c r="P588" t="str">
        <f>IF(SEARCH("NIFTY",O588),RIGHT(A588,7),0)</f>
        <v>44000PE</v>
      </c>
      <c r="Q588">
        <f t="shared" ref="Q588:Q590" si="114">M588/C588</f>
        <v>63.734999999999999</v>
      </c>
      <c r="S588">
        <v>0</v>
      </c>
    </row>
    <row r="589" spans="1:19" x14ac:dyDescent="0.3">
      <c r="A589" s="1" t="s">
        <v>588</v>
      </c>
      <c r="B589" s="2">
        <v>45064</v>
      </c>
      <c r="C589" s="3">
        <v>4150</v>
      </c>
      <c r="D589" s="3">
        <v>32.92</v>
      </c>
      <c r="E589" s="3">
        <v>136635</v>
      </c>
      <c r="F589" s="3">
        <v>4150</v>
      </c>
      <c r="G589" s="3">
        <v>31.39</v>
      </c>
      <c r="H589" s="3">
        <f t="shared" si="111"/>
        <v>-1.5300000000000011</v>
      </c>
      <c r="I589" s="3">
        <v>130281.25</v>
      </c>
      <c r="J589" s="3" t="s">
        <v>1</v>
      </c>
      <c r="K589" s="3" t="s">
        <v>1</v>
      </c>
      <c r="L589" s="3" t="s">
        <v>1</v>
      </c>
      <c r="M589" s="4">
        <v>-6353.75</v>
      </c>
      <c r="N589" s="5">
        <v>0</v>
      </c>
      <c r="O589" t="str">
        <f t="shared" si="112"/>
        <v>BANKNIFTY</v>
      </c>
      <c r="P589" t="str">
        <f>IF(SEARCH("NIFTY",O589),RIGHT(A589,7),0)</f>
        <v>44500CE</v>
      </c>
      <c r="Q589">
        <f t="shared" si="114"/>
        <v>-1.5310240963855422</v>
      </c>
      <c r="S589">
        <v>0</v>
      </c>
    </row>
    <row r="590" spans="1:19" x14ac:dyDescent="0.3">
      <c r="A590" s="1" t="s">
        <v>589</v>
      </c>
      <c r="B590" s="2">
        <v>45050</v>
      </c>
      <c r="C590" s="3">
        <v>3350</v>
      </c>
      <c r="D590" s="3">
        <v>8.42</v>
      </c>
      <c r="E590" s="3">
        <v>28200</v>
      </c>
      <c r="F590" s="3">
        <v>3350</v>
      </c>
      <c r="G590" s="3">
        <v>7</v>
      </c>
      <c r="H590" s="3">
        <f t="shared" si="111"/>
        <v>-1.42</v>
      </c>
      <c r="I590" s="3">
        <v>23466.25</v>
      </c>
      <c r="J590" s="3" t="s">
        <v>1</v>
      </c>
      <c r="K590" s="3" t="s">
        <v>1</v>
      </c>
      <c r="L590" s="3" t="s">
        <v>1</v>
      </c>
      <c r="M590" s="4">
        <v>-4733.75</v>
      </c>
      <c r="N590" s="5">
        <v>0</v>
      </c>
      <c r="O590" t="str">
        <f t="shared" si="112"/>
        <v>BANKNIFTY</v>
      </c>
      <c r="P590" t="str">
        <f>IF(SEARCH("NIFTY",O590),RIGHT(A590,7),0)</f>
        <v>44500CE</v>
      </c>
      <c r="Q590">
        <f t="shared" si="114"/>
        <v>-1.4130597014925372</v>
      </c>
      <c r="S590">
        <v>0</v>
      </c>
    </row>
    <row r="591" spans="1:19" hidden="1" x14ac:dyDescent="0.3">
      <c r="A591" s="1" t="s">
        <v>590</v>
      </c>
      <c r="B591" s="2">
        <v>45162</v>
      </c>
      <c r="C591" s="3">
        <v>5700</v>
      </c>
      <c r="D591" s="3">
        <v>5.51</v>
      </c>
      <c r="E591" s="3">
        <v>31425</v>
      </c>
      <c r="F591" s="3">
        <v>5700</v>
      </c>
      <c r="G591" s="3">
        <v>9.7899999999999991</v>
      </c>
      <c r="H591" s="3">
        <f t="shared" si="111"/>
        <v>4.2799999999999994</v>
      </c>
      <c r="I591" s="3">
        <v>55807.5</v>
      </c>
      <c r="J591" s="3" t="s">
        <v>1</v>
      </c>
      <c r="K591" s="3" t="s">
        <v>1</v>
      </c>
      <c r="L591" s="3" t="s">
        <v>1</v>
      </c>
      <c r="M591" s="5">
        <v>24382.5</v>
      </c>
      <c r="N591" s="5">
        <v>0</v>
      </c>
      <c r="O591" t="str">
        <f t="shared" si="112"/>
        <v>NIFTY</v>
      </c>
      <c r="P591" t="str">
        <f>IF(SEARCH("NIFTY",O591),RIGHT(A591,7),0)</f>
        <v>19400CE</v>
      </c>
      <c r="S591">
        <v>0</v>
      </c>
    </row>
    <row r="592" spans="1:19" x14ac:dyDescent="0.3">
      <c r="A592" s="1" t="s">
        <v>591</v>
      </c>
      <c r="B592" s="2">
        <v>45105</v>
      </c>
      <c r="C592" s="3">
        <v>1600</v>
      </c>
      <c r="D592" s="3">
        <v>105.53</v>
      </c>
      <c r="E592" s="3">
        <v>168843.75</v>
      </c>
      <c r="F592" s="3">
        <v>1600</v>
      </c>
      <c r="G592" s="3">
        <v>120.22</v>
      </c>
      <c r="H592" s="3">
        <f t="shared" si="111"/>
        <v>14.689999999999998</v>
      </c>
      <c r="I592" s="3">
        <v>192346.25</v>
      </c>
      <c r="J592" s="3" t="s">
        <v>1</v>
      </c>
      <c r="K592" s="3" t="s">
        <v>1</v>
      </c>
      <c r="L592" s="3" t="s">
        <v>1</v>
      </c>
      <c r="M592" s="5">
        <v>23502.5</v>
      </c>
      <c r="N592" s="5">
        <v>0</v>
      </c>
      <c r="O592" t="str">
        <f t="shared" si="112"/>
        <v>BANKNIFTY</v>
      </c>
      <c r="P592" t="str">
        <f>IF(SEARCH("NIFTY",O592),RIGHT(A592,7),0)</f>
        <v>43600PE</v>
      </c>
      <c r="Q592">
        <f t="shared" ref="Q592:Q598" si="115">M592/C592</f>
        <v>14.6890625</v>
      </c>
      <c r="S592">
        <v>0</v>
      </c>
    </row>
    <row r="593" spans="1:19" x14ac:dyDescent="0.3">
      <c r="A593" s="1" t="s">
        <v>592</v>
      </c>
      <c r="B593" s="2">
        <v>45169</v>
      </c>
      <c r="C593" s="3">
        <v>5085</v>
      </c>
      <c r="D593" s="3">
        <v>37.57</v>
      </c>
      <c r="E593" s="3">
        <v>191059.5</v>
      </c>
      <c r="F593" s="3">
        <v>5085</v>
      </c>
      <c r="G593" s="3">
        <v>33.729999999999997</v>
      </c>
      <c r="H593" s="3">
        <f t="shared" si="111"/>
        <v>-3.8400000000000034</v>
      </c>
      <c r="I593" s="3">
        <v>171497.25</v>
      </c>
      <c r="J593" s="3" t="s">
        <v>1</v>
      </c>
      <c r="K593" s="3" t="s">
        <v>1</v>
      </c>
      <c r="L593" s="3" t="s">
        <v>1</v>
      </c>
      <c r="M593" s="4">
        <v>-19562.25</v>
      </c>
      <c r="N593" s="5">
        <v>0</v>
      </c>
      <c r="O593" t="str">
        <f t="shared" si="112"/>
        <v>BANKNIFTY</v>
      </c>
      <c r="P593" t="str">
        <f>IF(SEARCH("NIFTY",O593),RIGHT(A593,7),0)</f>
        <v>44500CE</v>
      </c>
      <c r="Q593">
        <f t="shared" si="115"/>
        <v>-3.8470501474926255</v>
      </c>
      <c r="S593">
        <v>0</v>
      </c>
    </row>
    <row r="594" spans="1:19" x14ac:dyDescent="0.3">
      <c r="A594" s="1" t="s">
        <v>593</v>
      </c>
      <c r="B594" s="2">
        <v>45057</v>
      </c>
      <c r="C594" s="3">
        <v>450</v>
      </c>
      <c r="D594" s="3">
        <v>12.25</v>
      </c>
      <c r="E594" s="3">
        <v>5512.5</v>
      </c>
      <c r="F594" s="3">
        <v>450</v>
      </c>
      <c r="G594" s="3">
        <v>19.09</v>
      </c>
      <c r="H594" s="3">
        <f t="shared" si="111"/>
        <v>6.84</v>
      </c>
      <c r="I594" s="3">
        <v>8592.5</v>
      </c>
      <c r="J594" s="3" t="s">
        <v>1</v>
      </c>
      <c r="K594" s="3" t="s">
        <v>1</v>
      </c>
      <c r="L594" s="3" t="s">
        <v>1</v>
      </c>
      <c r="M594" s="5">
        <v>3080</v>
      </c>
      <c r="N594" s="5">
        <v>0</v>
      </c>
      <c r="O594" t="str">
        <f t="shared" si="112"/>
        <v>BANKNIFTY</v>
      </c>
      <c r="P594" t="str">
        <f>IF(SEARCH("NIFTY",O594),RIGHT(A594,7),0)</f>
        <v>44800CE</v>
      </c>
      <c r="Q594">
        <f t="shared" si="115"/>
        <v>6.8444444444444441</v>
      </c>
      <c r="S594">
        <v>0</v>
      </c>
    </row>
    <row r="595" spans="1:19" x14ac:dyDescent="0.3">
      <c r="A595" s="1" t="s">
        <v>594</v>
      </c>
      <c r="B595" s="2">
        <v>45105</v>
      </c>
      <c r="C595" s="3">
        <v>400</v>
      </c>
      <c r="D595" s="3">
        <v>8.35</v>
      </c>
      <c r="E595" s="3">
        <v>3340</v>
      </c>
      <c r="F595" s="3">
        <v>400</v>
      </c>
      <c r="G595" s="3">
        <v>7.35</v>
      </c>
      <c r="H595" s="3">
        <f t="shared" si="111"/>
        <v>-1</v>
      </c>
      <c r="I595" s="3">
        <v>2940</v>
      </c>
      <c r="J595" s="3" t="s">
        <v>1</v>
      </c>
      <c r="K595" s="3" t="s">
        <v>1</v>
      </c>
      <c r="L595" s="3" t="s">
        <v>1</v>
      </c>
      <c r="M595" s="4">
        <v>-400</v>
      </c>
      <c r="N595" s="5">
        <v>0</v>
      </c>
      <c r="O595" t="str">
        <f t="shared" si="112"/>
        <v>BANKNIFTY</v>
      </c>
      <c r="P595" t="str">
        <f>IF(SEARCH("NIFTY",O595),RIGHT(A595,7),0)</f>
        <v>41800PE</v>
      </c>
      <c r="Q595">
        <f t="shared" si="115"/>
        <v>-1</v>
      </c>
      <c r="S595">
        <v>0</v>
      </c>
    </row>
    <row r="596" spans="1:19" x14ac:dyDescent="0.3">
      <c r="A596" s="1" t="s">
        <v>595</v>
      </c>
      <c r="B596" s="2">
        <v>45099</v>
      </c>
      <c r="C596" s="3">
        <v>1400</v>
      </c>
      <c r="D596" s="3">
        <v>20</v>
      </c>
      <c r="E596" s="3">
        <v>27997.5</v>
      </c>
      <c r="F596" s="3">
        <v>1400</v>
      </c>
      <c r="G596" s="3">
        <v>28.55</v>
      </c>
      <c r="H596" s="3">
        <f t="shared" si="111"/>
        <v>8.5500000000000007</v>
      </c>
      <c r="I596" s="3">
        <v>39971.25</v>
      </c>
      <c r="J596" s="3" t="s">
        <v>1</v>
      </c>
      <c r="K596" s="3" t="s">
        <v>1</v>
      </c>
      <c r="L596" s="3" t="s">
        <v>1</v>
      </c>
      <c r="M596" s="5">
        <v>11973.75</v>
      </c>
      <c r="N596" s="5">
        <v>0</v>
      </c>
      <c r="O596" t="str">
        <f t="shared" si="112"/>
        <v>BANKNIFTY</v>
      </c>
      <c r="P596" t="str">
        <f>IF(SEARCH("NIFTY",O596),RIGHT(A596,7),0)</f>
        <v>44500CE</v>
      </c>
      <c r="Q596">
        <f t="shared" si="115"/>
        <v>8.5526785714285722</v>
      </c>
      <c r="S596">
        <v>0</v>
      </c>
    </row>
    <row r="597" spans="1:19" x14ac:dyDescent="0.3">
      <c r="A597" s="1" t="s">
        <v>596</v>
      </c>
      <c r="B597" s="2">
        <v>45113</v>
      </c>
      <c r="C597" s="3">
        <v>3650</v>
      </c>
      <c r="D597" s="3">
        <v>9.73</v>
      </c>
      <c r="E597" s="3">
        <v>35507.5</v>
      </c>
      <c r="F597" s="3">
        <v>3650</v>
      </c>
      <c r="G597" s="3">
        <v>10.17</v>
      </c>
      <c r="H597" s="3">
        <f t="shared" si="111"/>
        <v>0.4399999999999995</v>
      </c>
      <c r="I597" s="3">
        <v>37132.5</v>
      </c>
      <c r="J597" s="3" t="s">
        <v>1</v>
      </c>
      <c r="K597" s="3" t="s">
        <v>1</v>
      </c>
      <c r="L597" s="3" t="s">
        <v>1</v>
      </c>
      <c r="M597" s="5">
        <v>1625</v>
      </c>
      <c r="N597" s="5">
        <v>0</v>
      </c>
      <c r="O597" t="str">
        <f t="shared" si="112"/>
        <v>BANKNIFTY</v>
      </c>
      <c r="P597" t="str">
        <f>IF(SEARCH("NIFTY",O597),RIGHT(A597,7),0)</f>
        <v>46000CE</v>
      </c>
      <c r="Q597">
        <f t="shared" si="115"/>
        <v>0.4452054794520548</v>
      </c>
      <c r="S597">
        <v>0</v>
      </c>
    </row>
    <row r="598" spans="1:19" x14ac:dyDescent="0.3">
      <c r="A598" s="1" t="s">
        <v>597</v>
      </c>
      <c r="B598" s="2">
        <v>45099</v>
      </c>
      <c r="C598" s="3">
        <v>3700</v>
      </c>
      <c r="D598" s="3">
        <v>37.33</v>
      </c>
      <c r="E598" s="3">
        <v>138122.5</v>
      </c>
      <c r="F598" s="3">
        <v>3700</v>
      </c>
      <c r="G598" s="3">
        <v>36.880000000000003</v>
      </c>
      <c r="H598" s="3">
        <f t="shared" si="111"/>
        <v>-0.44999999999999574</v>
      </c>
      <c r="I598" s="3">
        <v>136471.25</v>
      </c>
      <c r="J598" s="3" t="s">
        <v>1</v>
      </c>
      <c r="K598" s="3" t="s">
        <v>1</v>
      </c>
      <c r="L598" s="3" t="s">
        <v>1</v>
      </c>
      <c r="M598" s="4">
        <v>-1651.25</v>
      </c>
      <c r="N598" s="5">
        <v>0</v>
      </c>
      <c r="O598" t="str">
        <f t="shared" si="112"/>
        <v>BANKNIFTY</v>
      </c>
      <c r="P598" t="str">
        <f>IF(SEARCH("NIFTY",O598),RIGHT(A598,7),0)</f>
        <v>43500PE</v>
      </c>
      <c r="Q598">
        <f t="shared" si="115"/>
        <v>-0.44628378378378381</v>
      </c>
      <c r="S598">
        <v>0</v>
      </c>
    </row>
    <row r="599" spans="1:19" hidden="1" x14ac:dyDescent="0.3">
      <c r="A599" s="1" t="s">
        <v>598</v>
      </c>
      <c r="B599" s="2">
        <v>45105</v>
      </c>
      <c r="C599" s="3">
        <v>900</v>
      </c>
      <c r="D599" s="3">
        <v>3078.85</v>
      </c>
      <c r="E599" s="3">
        <v>2770965</v>
      </c>
      <c r="F599" s="3">
        <v>900</v>
      </c>
      <c r="G599" s="3">
        <v>3060</v>
      </c>
      <c r="H599" s="3">
        <f t="shared" si="111"/>
        <v>-18.849999999999909</v>
      </c>
      <c r="I599" s="3">
        <v>2754000</v>
      </c>
      <c r="J599" s="3" t="s">
        <v>1</v>
      </c>
      <c r="K599" s="3" t="s">
        <v>1</v>
      </c>
      <c r="L599" s="3" t="s">
        <v>1</v>
      </c>
      <c r="M599" s="4">
        <v>-16965</v>
      </c>
      <c r="N599" s="5">
        <v>0</v>
      </c>
      <c r="O599" t="e">
        <f t="shared" si="112"/>
        <v>#VALUE!</v>
      </c>
      <c r="P599" t="e">
        <f>IF(SEARCH("NIFTY",O599),RIGHT(A599,7),0)</f>
        <v>#VALUE!</v>
      </c>
      <c r="S599">
        <v>0</v>
      </c>
    </row>
    <row r="600" spans="1:19" x14ac:dyDescent="0.3">
      <c r="A600" s="1" t="s">
        <v>599</v>
      </c>
      <c r="B600" s="2">
        <v>45078</v>
      </c>
      <c r="C600" s="3">
        <v>1200</v>
      </c>
      <c r="D600" s="3">
        <v>7.85</v>
      </c>
      <c r="E600" s="3">
        <v>9415</v>
      </c>
      <c r="F600" s="3">
        <v>1200</v>
      </c>
      <c r="G600" s="3">
        <v>7.06</v>
      </c>
      <c r="H600" s="3">
        <f t="shared" si="111"/>
        <v>-0.79</v>
      </c>
      <c r="I600" s="3">
        <v>8475</v>
      </c>
      <c r="J600" s="3" t="s">
        <v>1</v>
      </c>
      <c r="K600" s="3" t="s">
        <v>1</v>
      </c>
      <c r="L600" s="3" t="s">
        <v>1</v>
      </c>
      <c r="M600" s="4">
        <v>-940</v>
      </c>
      <c r="N600" s="5">
        <v>0</v>
      </c>
      <c r="O600" t="str">
        <f t="shared" si="112"/>
        <v>BANKNIFTY</v>
      </c>
      <c r="P600" t="str">
        <f>IF(SEARCH("NIFTY",O600),RIGHT(A600,7),0)</f>
        <v>41500PE</v>
      </c>
      <c r="Q600">
        <f>M600/C600</f>
        <v>-0.78333333333333333</v>
      </c>
      <c r="S600">
        <v>0</v>
      </c>
    </row>
    <row r="601" spans="1:19" hidden="1" x14ac:dyDescent="0.3">
      <c r="A601" s="1" t="s">
        <v>600</v>
      </c>
      <c r="B601" s="2">
        <v>45105</v>
      </c>
      <c r="C601" s="3">
        <v>16800</v>
      </c>
      <c r="D601" s="3">
        <v>2.76</v>
      </c>
      <c r="E601" s="3">
        <v>46305</v>
      </c>
      <c r="F601" s="3">
        <v>16800</v>
      </c>
      <c r="G601" s="3">
        <v>1.65</v>
      </c>
      <c r="H601" s="3">
        <f t="shared" si="111"/>
        <v>-1.1099999999999999</v>
      </c>
      <c r="I601" s="3">
        <v>27720</v>
      </c>
      <c r="J601" s="3" t="s">
        <v>1</v>
      </c>
      <c r="K601" s="3" t="s">
        <v>1</v>
      </c>
      <c r="L601" s="3" t="s">
        <v>1</v>
      </c>
      <c r="M601" s="4">
        <v>-18585</v>
      </c>
      <c r="N601" s="5">
        <v>0</v>
      </c>
      <c r="O601" t="e">
        <f t="shared" si="112"/>
        <v>#VALUE!</v>
      </c>
      <c r="P601" t="e">
        <f>IF(SEARCH("NIFTY",O601),RIGHT(A601,7),0)</f>
        <v>#VALUE!</v>
      </c>
      <c r="S601">
        <v>0</v>
      </c>
    </row>
    <row r="602" spans="1:19" x14ac:dyDescent="0.3">
      <c r="A602" s="1" t="s">
        <v>601</v>
      </c>
      <c r="B602" s="2">
        <v>45120</v>
      </c>
      <c r="C602" s="3">
        <v>2900</v>
      </c>
      <c r="D602" s="3">
        <v>51.4</v>
      </c>
      <c r="E602" s="3">
        <v>149067.5</v>
      </c>
      <c r="F602" s="3">
        <v>2900</v>
      </c>
      <c r="G602" s="3">
        <v>54.83</v>
      </c>
      <c r="H602" s="3">
        <f t="shared" si="111"/>
        <v>3.4299999999999997</v>
      </c>
      <c r="I602" s="3">
        <v>159012.5</v>
      </c>
      <c r="J602" s="3" t="s">
        <v>1</v>
      </c>
      <c r="K602" s="3" t="s">
        <v>1</v>
      </c>
      <c r="L602" s="3" t="s">
        <v>1</v>
      </c>
      <c r="M602" s="5">
        <v>9945</v>
      </c>
      <c r="N602" s="5">
        <v>0</v>
      </c>
      <c r="O602" t="str">
        <f t="shared" si="112"/>
        <v>BANKNIFTY</v>
      </c>
      <c r="P602" t="str">
        <f>IF(SEARCH("NIFTY",O602),RIGHT(A602,7),0)</f>
        <v>45700CE</v>
      </c>
      <c r="Q602">
        <f t="shared" ref="Q602:Q605" si="116">M602/C602</f>
        <v>3.4293103448275861</v>
      </c>
      <c r="S602">
        <v>0</v>
      </c>
    </row>
    <row r="603" spans="1:19" x14ac:dyDescent="0.3">
      <c r="A603" s="1" t="s">
        <v>602</v>
      </c>
      <c r="B603" s="2">
        <v>45113</v>
      </c>
      <c r="C603" s="3">
        <v>2600</v>
      </c>
      <c r="D603" s="3">
        <v>48.51</v>
      </c>
      <c r="E603" s="3">
        <v>126138.75</v>
      </c>
      <c r="F603" s="3">
        <v>2600</v>
      </c>
      <c r="G603" s="3">
        <v>43.18</v>
      </c>
      <c r="H603" s="3">
        <f t="shared" si="111"/>
        <v>-5.3299999999999983</v>
      </c>
      <c r="I603" s="3">
        <v>112280</v>
      </c>
      <c r="J603" s="3" t="s">
        <v>1</v>
      </c>
      <c r="K603" s="3" t="s">
        <v>1</v>
      </c>
      <c r="L603" s="3" t="s">
        <v>1</v>
      </c>
      <c r="M603" s="4">
        <v>-13858.75</v>
      </c>
      <c r="N603" s="5">
        <v>0</v>
      </c>
      <c r="O603" t="str">
        <f t="shared" si="112"/>
        <v>BANKNIFTY</v>
      </c>
      <c r="P603" t="str">
        <f>IF(SEARCH("NIFTY",O603),RIGHT(A603,7),0)</f>
        <v>45800CE</v>
      </c>
      <c r="Q603">
        <f t="shared" si="116"/>
        <v>-5.3302884615384611</v>
      </c>
      <c r="S603">
        <v>0</v>
      </c>
    </row>
    <row r="604" spans="1:19" x14ac:dyDescent="0.3">
      <c r="A604" s="1" t="s">
        <v>603</v>
      </c>
      <c r="B604" s="2">
        <v>45113</v>
      </c>
      <c r="C604" s="3">
        <v>1000</v>
      </c>
      <c r="D604" s="3">
        <v>58.83</v>
      </c>
      <c r="E604" s="3">
        <v>58825</v>
      </c>
      <c r="F604" s="3">
        <v>1000</v>
      </c>
      <c r="G604" s="3">
        <v>71.95</v>
      </c>
      <c r="H604" s="3">
        <f t="shared" si="111"/>
        <v>13.120000000000005</v>
      </c>
      <c r="I604" s="3">
        <v>71947.5</v>
      </c>
      <c r="J604" s="3" t="s">
        <v>1</v>
      </c>
      <c r="K604" s="3" t="s">
        <v>1</v>
      </c>
      <c r="L604" s="3" t="s">
        <v>1</v>
      </c>
      <c r="M604" s="5">
        <v>13122.5</v>
      </c>
      <c r="N604" s="5">
        <v>0</v>
      </c>
      <c r="O604" t="str">
        <f t="shared" si="112"/>
        <v>BANKNIFTY</v>
      </c>
      <c r="P604" t="str">
        <f>IF(SEARCH("NIFTY",O604),RIGHT(A604,7),0)</f>
        <v>44400PE</v>
      </c>
      <c r="Q604">
        <f t="shared" si="116"/>
        <v>13.1225</v>
      </c>
      <c r="S604">
        <v>0</v>
      </c>
    </row>
    <row r="605" spans="1:19" x14ac:dyDescent="0.3">
      <c r="A605" s="1" t="s">
        <v>604</v>
      </c>
      <c r="B605" s="2">
        <v>45169</v>
      </c>
      <c r="C605" s="3">
        <v>3330</v>
      </c>
      <c r="D605" s="3">
        <v>3.02</v>
      </c>
      <c r="E605" s="3">
        <v>10070.25</v>
      </c>
      <c r="F605" s="3">
        <v>3330</v>
      </c>
      <c r="G605" s="3">
        <v>2.64</v>
      </c>
      <c r="H605" s="3">
        <f t="shared" si="111"/>
        <v>-0.37999999999999989</v>
      </c>
      <c r="I605" s="3">
        <v>8780.25</v>
      </c>
      <c r="J605" s="3" t="s">
        <v>1</v>
      </c>
      <c r="K605" s="3" t="s">
        <v>1</v>
      </c>
      <c r="L605" s="3" t="s">
        <v>1</v>
      </c>
      <c r="M605" s="4">
        <v>-1290</v>
      </c>
      <c r="N605" s="5">
        <v>0</v>
      </c>
      <c r="O605" t="str">
        <f t="shared" si="112"/>
        <v>BANKNIFTY</v>
      </c>
      <c r="P605" t="str">
        <f>IF(SEARCH("NIFTY",O605),RIGHT(A605,7),0)</f>
        <v>43200PE</v>
      </c>
      <c r="Q605">
        <f t="shared" si="116"/>
        <v>-0.38738738738738737</v>
      </c>
      <c r="S605">
        <v>0</v>
      </c>
    </row>
    <row r="606" spans="1:19" hidden="1" x14ac:dyDescent="0.3">
      <c r="A606" s="1" t="s">
        <v>605</v>
      </c>
      <c r="B606" s="2">
        <v>45078</v>
      </c>
      <c r="C606" s="3">
        <v>3000</v>
      </c>
      <c r="D606" s="3">
        <v>1.5</v>
      </c>
      <c r="E606" s="3">
        <v>4500</v>
      </c>
      <c r="F606" s="3">
        <v>3000</v>
      </c>
      <c r="G606" s="3">
        <v>0.9</v>
      </c>
      <c r="H606" s="3">
        <f t="shared" si="111"/>
        <v>-0.6</v>
      </c>
      <c r="I606" s="3">
        <v>2700</v>
      </c>
      <c r="J606" s="3" t="s">
        <v>1</v>
      </c>
      <c r="K606" s="3" t="s">
        <v>1</v>
      </c>
      <c r="L606" s="3" t="s">
        <v>1</v>
      </c>
      <c r="M606" s="4">
        <v>-1800</v>
      </c>
      <c r="N606" s="5">
        <v>0</v>
      </c>
      <c r="O606" t="str">
        <f t="shared" si="112"/>
        <v>NIFTY</v>
      </c>
      <c r="P606" t="str">
        <f>IF(SEARCH("NIFTY",O606),RIGHT(A606,7),0)</f>
        <v>18300PE</v>
      </c>
      <c r="S606">
        <v>0</v>
      </c>
    </row>
    <row r="607" spans="1:19" hidden="1" x14ac:dyDescent="0.3">
      <c r="A607" s="1" t="s">
        <v>606</v>
      </c>
      <c r="B607" s="2">
        <v>45125</v>
      </c>
      <c r="C607" s="3">
        <v>400</v>
      </c>
      <c r="D607" s="3">
        <v>1.1000000000000001</v>
      </c>
      <c r="E607" s="3">
        <v>440</v>
      </c>
      <c r="F607" s="3">
        <v>400</v>
      </c>
      <c r="G607" s="3">
        <v>33.43</v>
      </c>
      <c r="H607" s="3">
        <f t="shared" si="111"/>
        <v>32.33</v>
      </c>
      <c r="I607" s="3">
        <v>13370</v>
      </c>
      <c r="J607" s="3" t="s">
        <v>1</v>
      </c>
      <c r="K607" s="3" t="s">
        <v>1</v>
      </c>
      <c r="L607" s="3" t="s">
        <v>1</v>
      </c>
      <c r="M607" s="5">
        <v>12930</v>
      </c>
      <c r="N607" s="5">
        <v>0</v>
      </c>
      <c r="O607" t="str">
        <f t="shared" si="112"/>
        <v>FINNIFTY</v>
      </c>
      <c r="P607" t="str">
        <f>IF(SEARCH("NIFTY",O607),RIGHT(A607,7),0)</f>
        <v>20150PE</v>
      </c>
      <c r="S607">
        <v>0</v>
      </c>
    </row>
    <row r="608" spans="1:19" x14ac:dyDescent="0.3">
      <c r="A608" s="1" t="s">
        <v>607</v>
      </c>
      <c r="B608" s="2">
        <v>45057</v>
      </c>
      <c r="C608" s="3">
        <v>300</v>
      </c>
      <c r="D608" s="3">
        <v>6.1</v>
      </c>
      <c r="E608" s="3">
        <v>1830</v>
      </c>
      <c r="F608" s="3">
        <v>300</v>
      </c>
      <c r="G608" s="3">
        <v>4.8</v>
      </c>
      <c r="H608" s="3">
        <f t="shared" si="111"/>
        <v>-1.2999999999999998</v>
      </c>
      <c r="I608" s="3">
        <v>1440</v>
      </c>
      <c r="J608" s="3" t="s">
        <v>1</v>
      </c>
      <c r="K608" s="3" t="s">
        <v>1</v>
      </c>
      <c r="L608" s="3" t="s">
        <v>1</v>
      </c>
      <c r="M608" s="4">
        <v>-390</v>
      </c>
      <c r="N608" s="5">
        <v>0</v>
      </c>
      <c r="O608" t="str">
        <f t="shared" si="112"/>
        <v>BANKNIFTY</v>
      </c>
      <c r="P608" t="str">
        <f>IF(SEARCH("NIFTY",O608),RIGHT(A608,7),0)</f>
        <v>41700PE</v>
      </c>
      <c r="Q608">
        <f t="shared" ref="Q608:Q609" si="117">M608/C608</f>
        <v>-1.3</v>
      </c>
      <c r="S608">
        <v>0</v>
      </c>
    </row>
    <row r="609" spans="1:19" x14ac:dyDescent="0.3">
      <c r="A609" s="1" t="s">
        <v>608</v>
      </c>
      <c r="B609" s="2">
        <v>45064</v>
      </c>
      <c r="C609" s="3">
        <v>3950</v>
      </c>
      <c r="D609" s="3">
        <v>40.01</v>
      </c>
      <c r="E609" s="3">
        <v>158047.5</v>
      </c>
      <c r="F609" s="3">
        <v>3950</v>
      </c>
      <c r="G609" s="3">
        <v>43.44</v>
      </c>
      <c r="H609" s="3">
        <f t="shared" si="111"/>
        <v>3.4299999999999997</v>
      </c>
      <c r="I609" s="3">
        <v>171605</v>
      </c>
      <c r="J609" s="3" t="s">
        <v>1</v>
      </c>
      <c r="K609" s="3" t="s">
        <v>1</v>
      </c>
      <c r="L609" s="3" t="s">
        <v>1</v>
      </c>
      <c r="M609" s="5">
        <v>13557.5</v>
      </c>
      <c r="N609" s="5">
        <v>0</v>
      </c>
      <c r="O609" t="str">
        <f t="shared" si="112"/>
        <v>BANKNIFTY</v>
      </c>
      <c r="P609" t="str">
        <f>IF(SEARCH("NIFTY",O609),RIGHT(A609,7),0)</f>
        <v>43200PE</v>
      </c>
      <c r="Q609">
        <f t="shared" si="117"/>
        <v>3.4322784810126583</v>
      </c>
      <c r="S609">
        <v>0</v>
      </c>
    </row>
    <row r="610" spans="1:19" hidden="1" x14ac:dyDescent="0.3">
      <c r="A610" s="1" t="s">
        <v>609</v>
      </c>
      <c r="B610" s="2">
        <v>45099</v>
      </c>
      <c r="C610" s="3">
        <v>1200</v>
      </c>
      <c r="D610" s="3">
        <v>318.22000000000003</v>
      </c>
      <c r="E610" s="3">
        <v>381865</v>
      </c>
      <c r="F610" s="3">
        <v>1200</v>
      </c>
      <c r="G610" s="3">
        <v>288.36</v>
      </c>
      <c r="H610" s="3">
        <f t="shared" si="111"/>
        <v>-29.860000000000014</v>
      </c>
      <c r="I610" s="3">
        <v>346035</v>
      </c>
      <c r="J610" s="3" t="s">
        <v>1</v>
      </c>
      <c r="K610" s="3" t="s">
        <v>1</v>
      </c>
      <c r="L610" s="3" t="s">
        <v>1</v>
      </c>
      <c r="M610" s="4">
        <v>-35830</v>
      </c>
      <c r="N610" s="5">
        <v>0</v>
      </c>
      <c r="O610" t="str">
        <f t="shared" si="112"/>
        <v>NIFTY</v>
      </c>
      <c r="P610" t="str">
        <f>IF(SEARCH("NIFTY",O610),RIGHT(A610,7),0)</f>
        <v>18500CE</v>
      </c>
      <c r="S610">
        <v>0</v>
      </c>
    </row>
    <row r="611" spans="1:19" x14ac:dyDescent="0.3">
      <c r="A611" s="1" t="s">
        <v>610</v>
      </c>
      <c r="B611" s="2">
        <v>45085</v>
      </c>
      <c r="C611" s="3">
        <v>1000</v>
      </c>
      <c r="D611" s="3">
        <v>6.17</v>
      </c>
      <c r="E611" s="3">
        <v>6170</v>
      </c>
      <c r="F611" s="3">
        <v>1000</v>
      </c>
      <c r="G611" s="3">
        <v>3.89</v>
      </c>
      <c r="H611" s="3">
        <f t="shared" si="111"/>
        <v>-2.2799999999999998</v>
      </c>
      <c r="I611" s="3">
        <v>3887.5</v>
      </c>
      <c r="J611" s="3" t="s">
        <v>1</v>
      </c>
      <c r="K611" s="3" t="s">
        <v>1</v>
      </c>
      <c r="L611" s="3" t="s">
        <v>1</v>
      </c>
      <c r="M611" s="4">
        <v>-2282.5</v>
      </c>
      <c r="N611" s="5">
        <v>0</v>
      </c>
      <c r="O611" t="str">
        <f t="shared" si="112"/>
        <v>BANKNIFTY</v>
      </c>
      <c r="P611" t="str">
        <f>IF(SEARCH("NIFTY",O611),RIGHT(A611,7),0)</f>
        <v>41700PE</v>
      </c>
      <c r="Q611">
        <f t="shared" ref="Q611:Q612" si="118">M611/C611</f>
        <v>-2.2825000000000002</v>
      </c>
      <c r="S611">
        <v>0</v>
      </c>
    </row>
    <row r="612" spans="1:19" x14ac:dyDescent="0.3">
      <c r="A612" s="1" t="s">
        <v>611</v>
      </c>
      <c r="B612" s="2">
        <v>45057</v>
      </c>
      <c r="C612" s="3">
        <v>3000</v>
      </c>
      <c r="D612" s="3">
        <v>24.54</v>
      </c>
      <c r="E612" s="3">
        <v>73625</v>
      </c>
      <c r="F612" s="3">
        <v>3000</v>
      </c>
      <c r="G612" s="3">
        <v>22.1</v>
      </c>
      <c r="H612" s="3">
        <f t="shared" si="111"/>
        <v>-2.4399999999999977</v>
      </c>
      <c r="I612" s="3">
        <v>66305</v>
      </c>
      <c r="J612" s="3" t="s">
        <v>1</v>
      </c>
      <c r="K612" s="3" t="s">
        <v>1</v>
      </c>
      <c r="L612" s="3" t="s">
        <v>1</v>
      </c>
      <c r="M612" s="4">
        <v>-7320</v>
      </c>
      <c r="N612" s="5">
        <v>0</v>
      </c>
      <c r="O612" t="str">
        <f t="shared" si="112"/>
        <v>BANKNIFTY</v>
      </c>
      <c r="P612" t="str">
        <f>IF(SEARCH("NIFTY",O612),RIGHT(A612,7),0)</f>
        <v>43200PE</v>
      </c>
      <c r="Q612">
        <f t="shared" si="118"/>
        <v>-2.44</v>
      </c>
      <c r="S612">
        <v>0</v>
      </c>
    </row>
    <row r="613" spans="1:19" hidden="1" x14ac:dyDescent="0.3">
      <c r="A613" s="1" t="s">
        <v>612</v>
      </c>
      <c r="B613" s="2">
        <v>45132</v>
      </c>
      <c r="C613" s="3">
        <v>280</v>
      </c>
      <c r="D613" s="3">
        <v>42.7</v>
      </c>
      <c r="E613" s="3">
        <v>11956</v>
      </c>
      <c r="F613" s="3">
        <v>280</v>
      </c>
      <c r="G613" s="3">
        <v>50.7</v>
      </c>
      <c r="H613" s="3">
        <f t="shared" si="111"/>
        <v>8</v>
      </c>
      <c r="I613" s="3">
        <v>14196</v>
      </c>
      <c r="J613" s="3" t="s">
        <v>1</v>
      </c>
      <c r="K613" s="3" t="s">
        <v>1</v>
      </c>
      <c r="L613" s="3" t="s">
        <v>1</v>
      </c>
      <c r="M613" s="5">
        <v>2240</v>
      </c>
      <c r="N613" s="5">
        <v>0</v>
      </c>
      <c r="O613" t="str">
        <f t="shared" si="112"/>
        <v>FINNIFTY</v>
      </c>
      <c r="P613" t="str">
        <f>IF(SEARCH("NIFTY",O613),RIGHT(A613,7),0)</f>
        <v>20600CE</v>
      </c>
      <c r="S613">
        <v>0</v>
      </c>
    </row>
    <row r="614" spans="1:19" hidden="1" x14ac:dyDescent="0.3">
      <c r="A614" s="1" t="s">
        <v>613</v>
      </c>
      <c r="B614" s="2">
        <v>45099</v>
      </c>
      <c r="C614" s="3">
        <v>3200</v>
      </c>
      <c r="D614" s="3">
        <v>52.56</v>
      </c>
      <c r="E614" s="3">
        <v>168197.5</v>
      </c>
      <c r="F614" s="3">
        <v>3200</v>
      </c>
      <c r="G614" s="3">
        <v>47.59</v>
      </c>
      <c r="H614" s="3">
        <f t="shared" si="111"/>
        <v>-4.9699999999999989</v>
      </c>
      <c r="I614" s="3">
        <v>152295</v>
      </c>
      <c r="J614" s="3" t="s">
        <v>1</v>
      </c>
      <c r="K614" s="3" t="s">
        <v>1</v>
      </c>
      <c r="L614" s="3" t="s">
        <v>1</v>
      </c>
      <c r="M614" s="4">
        <v>-15902.5</v>
      </c>
      <c r="N614" s="5">
        <v>0</v>
      </c>
      <c r="O614" t="str">
        <f t="shared" si="112"/>
        <v>NIFTY</v>
      </c>
      <c r="P614" t="str">
        <f>IF(SEARCH("NIFTY",O614),RIGHT(A614,7),0)</f>
        <v>18800PE</v>
      </c>
      <c r="S614">
        <v>0</v>
      </c>
    </row>
    <row r="615" spans="1:19" x14ac:dyDescent="0.3">
      <c r="A615" s="1" t="s">
        <v>614</v>
      </c>
      <c r="B615" s="2">
        <v>45078</v>
      </c>
      <c r="C615" s="3">
        <v>500</v>
      </c>
      <c r="D615" s="3">
        <v>6.14</v>
      </c>
      <c r="E615" s="3">
        <v>3070</v>
      </c>
      <c r="F615" s="3">
        <v>500</v>
      </c>
      <c r="G615" s="3">
        <v>7.55</v>
      </c>
      <c r="H615" s="3">
        <f t="shared" si="111"/>
        <v>1.4100000000000001</v>
      </c>
      <c r="I615" s="3">
        <v>3775</v>
      </c>
      <c r="J615" s="3" t="s">
        <v>1</v>
      </c>
      <c r="K615" s="3" t="s">
        <v>1</v>
      </c>
      <c r="L615" s="3" t="s">
        <v>1</v>
      </c>
      <c r="M615" s="5">
        <v>705</v>
      </c>
      <c r="N615" s="5">
        <v>0</v>
      </c>
      <c r="O615" t="str">
        <f t="shared" si="112"/>
        <v>BANKNIFTY</v>
      </c>
      <c r="P615" t="str">
        <f>IF(SEARCH("NIFTY",O615),RIGHT(A615,7),0)</f>
        <v>41000PE</v>
      </c>
      <c r="Q615">
        <f t="shared" ref="Q615:Q619" si="119">M615/C615</f>
        <v>1.41</v>
      </c>
      <c r="S615">
        <v>0</v>
      </c>
    </row>
    <row r="616" spans="1:19" x14ac:dyDescent="0.3">
      <c r="A616" s="1" t="s">
        <v>615</v>
      </c>
      <c r="B616" s="2">
        <v>45078</v>
      </c>
      <c r="C616" s="3">
        <v>1700</v>
      </c>
      <c r="D616" s="3">
        <v>16.04</v>
      </c>
      <c r="E616" s="3">
        <v>27267.5</v>
      </c>
      <c r="F616" s="3">
        <v>1700</v>
      </c>
      <c r="G616" s="3">
        <v>18.37</v>
      </c>
      <c r="H616" s="3">
        <f t="shared" si="111"/>
        <v>2.3300000000000018</v>
      </c>
      <c r="I616" s="3">
        <v>31225</v>
      </c>
      <c r="J616" s="3" t="s">
        <v>1</v>
      </c>
      <c r="K616" s="3" t="s">
        <v>1</v>
      </c>
      <c r="L616" s="3" t="s">
        <v>1</v>
      </c>
      <c r="M616" s="5">
        <v>3957.5</v>
      </c>
      <c r="N616" s="5">
        <v>0</v>
      </c>
      <c r="O616" t="str">
        <f t="shared" si="112"/>
        <v>BANKNIFTY</v>
      </c>
      <c r="P616" t="str">
        <f>IF(SEARCH("NIFTY",O616),RIGHT(A616,7),0)</f>
        <v>45000CE</v>
      </c>
      <c r="Q616">
        <f t="shared" si="119"/>
        <v>2.3279411764705884</v>
      </c>
      <c r="S616">
        <v>0</v>
      </c>
    </row>
    <row r="617" spans="1:19" x14ac:dyDescent="0.3">
      <c r="A617" s="1" t="s">
        <v>616</v>
      </c>
      <c r="B617" s="2">
        <v>45127</v>
      </c>
      <c r="C617" s="3">
        <v>900</v>
      </c>
      <c r="D617" s="3">
        <v>30.7</v>
      </c>
      <c r="E617" s="3">
        <v>27630</v>
      </c>
      <c r="F617" s="3">
        <v>900</v>
      </c>
      <c r="G617" s="3">
        <v>33.020000000000003</v>
      </c>
      <c r="H617" s="3">
        <f t="shared" si="111"/>
        <v>2.3200000000000038</v>
      </c>
      <c r="I617" s="3">
        <v>29721.25</v>
      </c>
      <c r="J617" s="3" t="s">
        <v>1</v>
      </c>
      <c r="K617" s="3" t="s">
        <v>1</v>
      </c>
      <c r="L617" s="3" t="s">
        <v>1</v>
      </c>
      <c r="M617" s="5">
        <v>2091.25</v>
      </c>
      <c r="N617" s="5">
        <v>0</v>
      </c>
      <c r="O617" t="str">
        <f t="shared" si="112"/>
        <v>BANKNIFTY</v>
      </c>
      <c r="P617" t="str">
        <f>IF(SEARCH("NIFTY",O617),RIGHT(A617,7),0)</f>
        <v>44000PE</v>
      </c>
      <c r="Q617">
        <f t="shared" si="119"/>
        <v>2.3236111111111111</v>
      </c>
      <c r="S617">
        <v>0</v>
      </c>
    </row>
    <row r="618" spans="1:19" x14ac:dyDescent="0.3">
      <c r="A618" s="1" t="s">
        <v>617</v>
      </c>
      <c r="B618" s="2">
        <v>45127</v>
      </c>
      <c r="C618" s="3">
        <v>200</v>
      </c>
      <c r="D618" s="3">
        <v>239.55</v>
      </c>
      <c r="E618" s="3">
        <v>47910</v>
      </c>
      <c r="F618" s="3">
        <v>200</v>
      </c>
      <c r="G618" s="3">
        <v>236.56</v>
      </c>
      <c r="H618" s="3">
        <f t="shared" si="111"/>
        <v>-2.9900000000000091</v>
      </c>
      <c r="I618" s="3">
        <v>47311.25</v>
      </c>
      <c r="J618" s="3" t="s">
        <v>1</v>
      </c>
      <c r="K618" s="3" t="s">
        <v>1</v>
      </c>
      <c r="L618" s="3" t="s">
        <v>1</v>
      </c>
      <c r="M618" s="4">
        <v>-598.75</v>
      </c>
      <c r="N618" s="5">
        <v>0</v>
      </c>
      <c r="O618" t="str">
        <f t="shared" si="112"/>
        <v>BANKNIFTY</v>
      </c>
      <c r="P618" t="str">
        <f>IF(SEARCH("NIFTY",O618),RIGHT(A618,7),0)</f>
        <v>44700PE</v>
      </c>
      <c r="Q618">
        <f t="shared" si="119"/>
        <v>-2.9937499999999999</v>
      </c>
      <c r="S618">
        <v>0</v>
      </c>
    </row>
    <row r="619" spans="1:19" x14ac:dyDescent="0.3">
      <c r="A619" s="1" t="s">
        <v>618</v>
      </c>
      <c r="B619" s="2">
        <v>45057</v>
      </c>
      <c r="C619" s="3">
        <v>3000</v>
      </c>
      <c r="D619" s="3">
        <v>10.31</v>
      </c>
      <c r="E619" s="3">
        <v>30923.75</v>
      </c>
      <c r="F619" s="3">
        <v>3000</v>
      </c>
      <c r="G619" s="3">
        <v>14.72</v>
      </c>
      <c r="H619" s="3">
        <f t="shared" si="111"/>
        <v>4.41</v>
      </c>
      <c r="I619" s="3">
        <v>44161.25</v>
      </c>
      <c r="J619" s="3" t="s">
        <v>1</v>
      </c>
      <c r="K619" s="3" t="s">
        <v>1</v>
      </c>
      <c r="L619" s="3" t="s">
        <v>1</v>
      </c>
      <c r="M619" s="5">
        <v>13237.5</v>
      </c>
      <c r="N619" s="5">
        <v>0</v>
      </c>
      <c r="O619" t="str">
        <f t="shared" si="112"/>
        <v>BANKNIFTY</v>
      </c>
      <c r="P619" t="str">
        <f>IF(SEARCH("NIFTY",O619),RIGHT(A619,7),0)</f>
        <v>43900CE</v>
      </c>
      <c r="Q619">
        <f t="shared" si="119"/>
        <v>4.4124999999999996</v>
      </c>
      <c r="S619">
        <v>0</v>
      </c>
    </row>
    <row r="620" spans="1:19" hidden="1" x14ac:dyDescent="0.3">
      <c r="A620" s="1" t="s">
        <v>619</v>
      </c>
      <c r="B620" s="2">
        <v>45078</v>
      </c>
      <c r="C620" s="3">
        <v>12000</v>
      </c>
      <c r="D620" s="3">
        <v>4.4400000000000004</v>
      </c>
      <c r="E620" s="3">
        <v>53310</v>
      </c>
      <c r="F620" s="3">
        <v>12000</v>
      </c>
      <c r="G620" s="3">
        <v>4.7699999999999996</v>
      </c>
      <c r="H620" s="3">
        <f t="shared" si="111"/>
        <v>0.32999999999999918</v>
      </c>
      <c r="I620" s="3">
        <v>57240</v>
      </c>
      <c r="J620" s="3" t="s">
        <v>1</v>
      </c>
      <c r="K620" s="3" t="s">
        <v>1</v>
      </c>
      <c r="L620" s="3" t="s">
        <v>1</v>
      </c>
      <c r="M620" s="5">
        <v>3930</v>
      </c>
      <c r="N620" s="5">
        <v>0</v>
      </c>
      <c r="O620" t="str">
        <f t="shared" si="112"/>
        <v>NIFTY</v>
      </c>
      <c r="P620" t="str">
        <f>IF(SEARCH("NIFTY",O620),RIGHT(A620,7),0)</f>
        <v>18650CE</v>
      </c>
      <c r="S620">
        <v>0</v>
      </c>
    </row>
    <row r="621" spans="1:19" hidden="1" x14ac:dyDescent="0.3">
      <c r="A621" s="1" t="s">
        <v>620</v>
      </c>
      <c r="B621" s="2">
        <v>45169</v>
      </c>
      <c r="C621" s="3">
        <v>1020000</v>
      </c>
      <c r="D621" s="3">
        <v>1.18</v>
      </c>
      <c r="E621" s="3">
        <v>1202250</v>
      </c>
      <c r="F621" s="3">
        <v>1020000</v>
      </c>
      <c r="G621" s="3">
        <v>1.1100000000000001</v>
      </c>
      <c r="H621" s="3">
        <f t="shared" si="111"/>
        <v>-6.999999999999984E-2</v>
      </c>
      <c r="I621" s="3">
        <v>1129500</v>
      </c>
      <c r="J621" s="3" t="s">
        <v>1</v>
      </c>
      <c r="K621" s="3" t="s">
        <v>1</v>
      </c>
      <c r="L621" s="3" t="s">
        <v>1</v>
      </c>
      <c r="M621" s="4">
        <v>-72750</v>
      </c>
      <c r="N621" s="5">
        <v>0</v>
      </c>
      <c r="O621" t="e">
        <f t="shared" si="112"/>
        <v>#VALUE!</v>
      </c>
      <c r="P621" t="e">
        <f>IF(SEARCH("NIFTY",O621),RIGHT(A621,7),0)</f>
        <v>#VALUE!</v>
      </c>
      <c r="S621">
        <v>0</v>
      </c>
    </row>
    <row r="622" spans="1:19" x14ac:dyDescent="0.3">
      <c r="A622" s="1" t="s">
        <v>621</v>
      </c>
      <c r="B622" s="2">
        <v>45050</v>
      </c>
      <c r="C622" s="3">
        <v>2400</v>
      </c>
      <c r="D622" s="3">
        <v>75.25</v>
      </c>
      <c r="E622" s="3">
        <v>180600</v>
      </c>
      <c r="F622" s="3">
        <v>2400</v>
      </c>
      <c r="G622" s="3">
        <v>70.05</v>
      </c>
      <c r="H622" s="3">
        <f t="shared" si="111"/>
        <v>-5.2000000000000028</v>
      </c>
      <c r="I622" s="3">
        <v>168118.75</v>
      </c>
      <c r="J622" s="3" t="s">
        <v>1</v>
      </c>
      <c r="K622" s="3" t="s">
        <v>1</v>
      </c>
      <c r="L622" s="3" t="s">
        <v>1</v>
      </c>
      <c r="M622" s="4">
        <v>-12481.25</v>
      </c>
      <c r="N622" s="5">
        <v>0</v>
      </c>
      <c r="O622" t="str">
        <f t="shared" si="112"/>
        <v>BANKNIFTY</v>
      </c>
      <c r="P622" t="str">
        <f>IF(SEARCH("NIFTY",O622),RIGHT(A622,7),0)</f>
        <v>43500CE</v>
      </c>
      <c r="Q622">
        <f>M622/C622</f>
        <v>-5.200520833333333</v>
      </c>
      <c r="S622">
        <v>0</v>
      </c>
    </row>
    <row r="623" spans="1:19" hidden="1" x14ac:dyDescent="0.3">
      <c r="A623" s="1" t="s">
        <v>622</v>
      </c>
      <c r="B623" s="2">
        <v>45092</v>
      </c>
      <c r="C623" s="3">
        <v>2000</v>
      </c>
      <c r="D623" s="3">
        <v>2.4</v>
      </c>
      <c r="E623" s="3">
        <v>4800</v>
      </c>
      <c r="F623" s="3">
        <v>2000</v>
      </c>
      <c r="G623" s="3">
        <v>4.3</v>
      </c>
      <c r="H623" s="3">
        <f t="shared" si="111"/>
        <v>1.9</v>
      </c>
      <c r="I623" s="3">
        <v>8600</v>
      </c>
      <c r="J623" s="3" t="s">
        <v>1</v>
      </c>
      <c r="K623" s="3" t="s">
        <v>1</v>
      </c>
      <c r="L623" s="3" t="s">
        <v>1</v>
      </c>
      <c r="M623" s="5">
        <v>3800</v>
      </c>
      <c r="N623" s="5">
        <v>0</v>
      </c>
      <c r="O623" t="str">
        <f t="shared" si="112"/>
        <v>NIFTY</v>
      </c>
      <c r="P623" t="str">
        <f>IF(SEARCH("NIFTY",O623),RIGHT(A623,7),0)</f>
        <v>18850CE</v>
      </c>
      <c r="S623">
        <v>0</v>
      </c>
    </row>
    <row r="624" spans="1:19" hidden="1" x14ac:dyDescent="0.3">
      <c r="A624" s="1" t="s">
        <v>623</v>
      </c>
      <c r="B624" s="2">
        <v>45057</v>
      </c>
      <c r="C624" s="3">
        <v>2000</v>
      </c>
      <c r="D624" s="3">
        <v>65</v>
      </c>
      <c r="E624" s="3">
        <v>130000</v>
      </c>
      <c r="F624" s="3">
        <v>2000</v>
      </c>
      <c r="G624" s="3">
        <v>53.35</v>
      </c>
      <c r="H624" s="3">
        <f t="shared" si="111"/>
        <v>-11.649999999999999</v>
      </c>
      <c r="I624" s="3">
        <v>106702.5</v>
      </c>
      <c r="J624" s="3" t="s">
        <v>1</v>
      </c>
      <c r="K624" s="3" t="s">
        <v>1</v>
      </c>
      <c r="L624" s="3" t="s">
        <v>1</v>
      </c>
      <c r="M624" s="4">
        <v>-23297.5</v>
      </c>
      <c r="N624" s="5">
        <v>0</v>
      </c>
      <c r="O624" t="str">
        <f t="shared" si="112"/>
        <v>NIFTY</v>
      </c>
      <c r="P624" t="str">
        <f>IF(SEARCH("NIFTY",O624),RIGHT(A624,7),0)</f>
        <v>18350PE</v>
      </c>
      <c r="S624">
        <v>0</v>
      </c>
    </row>
    <row r="625" spans="1:19" x14ac:dyDescent="0.3">
      <c r="A625" s="1" t="s">
        <v>624</v>
      </c>
      <c r="B625" s="2">
        <v>45127</v>
      </c>
      <c r="C625" s="3">
        <v>1000</v>
      </c>
      <c r="D625" s="3">
        <v>49.65</v>
      </c>
      <c r="E625" s="3">
        <v>49653.75</v>
      </c>
      <c r="F625" s="3">
        <v>1000</v>
      </c>
      <c r="G625" s="3">
        <v>46.96</v>
      </c>
      <c r="H625" s="3">
        <f t="shared" si="111"/>
        <v>-2.6899999999999977</v>
      </c>
      <c r="I625" s="3">
        <v>46960</v>
      </c>
      <c r="J625" s="3" t="s">
        <v>1</v>
      </c>
      <c r="K625" s="3" t="s">
        <v>1</v>
      </c>
      <c r="L625" s="3" t="s">
        <v>1</v>
      </c>
      <c r="M625" s="4">
        <v>-2693.75</v>
      </c>
      <c r="N625" s="5">
        <v>0</v>
      </c>
      <c r="O625" t="str">
        <f t="shared" si="112"/>
        <v>BANKNIFTY</v>
      </c>
      <c r="P625" t="str">
        <f>IF(SEARCH("NIFTY",O625),RIGHT(A625,7),0)</f>
        <v>44100PE</v>
      </c>
      <c r="Q625">
        <f t="shared" ref="Q625:Q626" si="120">M625/C625</f>
        <v>-2.6937500000000001</v>
      </c>
      <c r="S625">
        <v>0</v>
      </c>
    </row>
    <row r="626" spans="1:19" x14ac:dyDescent="0.3">
      <c r="A626" s="1" t="s">
        <v>625</v>
      </c>
      <c r="B626" s="2">
        <v>45105</v>
      </c>
      <c r="C626" s="3">
        <v>575</v>
      </c>
      <c r="D626" s="3">
        <v>30.75</v>
      </c>
      <c r="E626" s="3">
        <v>17681.25</v>
      </c>
      <c r="F626" s="3">
        <v>575</v>
      </c>
      <c r="G626" s="3">
        <v>26.2</v>
      </c>
      <c r="H626" s="3">
        <f t="shared" si="111"/>
        <v>-4.5500000000000007</v>
      </c>
      <c r="I626" s="3">
        <v>15065</v>
      </c>
      <c r="J626" s="3" t="s">
        <v>1</v>
      </c>
      <c r="K626" s="3" t="s">
        <v>1</v>
      </c>
      <c r="L626" s="3" t="s">
        <v>1</v>
      </c>
      <c r="M626" s="4">
        <v>-2616.25</v>
      </c>
      <c r="N626" s="5">
        <v>0</v>
      </c>
      <c r="O626" t="str">
        <f t="shared" si="112"/>
        <v>BANKNIFTY</v>
      </c>
      <c r="P626" t="str">
        <f>IF(SEARCH("NIFTY",O626),RIGHT(A626,7),0)</f>
        <v>42900PE</v>
      </c>
      <c r="Q626">
        <f t="shared" si="120"/>
        <v>-4.55</v>
      </c>
      <c r="S626">
        <v>0</v>
      </c>
    </row>
    <row r="627" spans="1:19" hidden="1" x14ac:dyDescent="0.3">
      <c r="A627" s="1" t="s">
        <v>626</v>
      </c>
      <c r="B627" s="2">
        <v>45048</v>
      </c>
      <c r="C627" s="3">
        <v>1000</v>
      </c>
      <c r="D627" s="3">
        <v>3.95</v>
      </c>
      <c r="E627" s="3">
        <v>3950</v>
      </c>
      <c r="F627" s="3">
        <v>1000</v>
      </c>
      <c r="G627" s="3">
        <v>0.6</v>
      </c>
      <c r="H627" s="3">
        <f t="shared" si="111"/>
        <v>-3.35</v>
      </c>
      <c r="I627" s="3">
        <v>600</v>
      </c>
      <c r="J627" s="3" t="s">
        <v>1</v>
      </c>
      <c r="K627" s="3" t="s">
        <v>1</v>
      </c>
      <c r="L627" s="3" t="s">
        <v>1</v>
      </c>
      <c r="M627" s="4">
        <v>-3350</v>
      </c>
      <c r="N627" s="5">
        <v>0</v>
      </c>
      <c r="O627" t="str">
        <f t="shared" si="112"/>
        <v>FINNIFTY</v>
      </c>
      <c r="P627" t="str">
        <f>IF(SEARCH("NIFTY",O627),RIGHT(A627,7),0)</f>
        <v>19100PE</v>
      </c>
      <c r="S627">
        <v>0</v>
      </c>
    </row>
    <row r="628" spans="1:19" x14ac:dyDescent="0.3">
      <c r="A628" s="1" t="s">
        <v>627</v>
      </c>
      <c r="B628" s="2">
        <v>45120</v>
      </c>
      <c r="C628" s="3">
        <v>1000</v>
      </c>
      <c r="D628" s="3">
        <v>19.670000000000002</v>
      </c>
      <c r="E628" s="3">
        <v>19668.75</v>
      </c>
      <c r="F628" s="3">
        <v>1000</v>
      </c>
      <c r="G628" s="3">
        <v>16.05</v>
      </c>
      <c r="H628" s="3">
        <f t="shared" si="111"/>
        <v>-3.620000000000001</v>
      </c>
      <c r="I628" s="3">
        <v>16050</v>
      </c>
      <c r="J628" s="3" t="s">
        <v>1</v>
      </c>
      <c r="K628" s="3" t="s">
        <v>1</v>
      </c>
      <c r="L628" s="3" t="s">
        <v>1</v>
      </c>
      <c r="M628" s="4">
        <v>-3618.75</v>
      </c>
      <c r="N628" s="5">
        <v>0</v>
      </c>
      <c r="O628" t="str">
        <f t="shared" si="112"/>
        <v>BANKNIFTY</v>
      </c>
      <c r="P628" t="str">
        <f>IF(SEARCH("NIFTY",O628),RIGHT(A628,7),0)</f>
        <v>45800CE</v>
      </c>
      <c r="Q628">
        <f t="shared" ref="Q628:Q632" si="121">M628/C628</f>
        <v>-3.6187499999999999</v>
      </c>
      <c r="S628">
        <v>0</v>
      </c>
    </row>
    <row r="629" spans="1:19" x14ac:dyDescent="0.3">
      <c r="A629" s="1" t="s">
        <v>628</v>
      </c>
      <c r="B629" s="2">
        <v>45050</v>
      </c>
      <c r="C629" s="3">
        <v>5700</v>
      </c>
      <c r="D629" s="3">
        <v>3.24</v>
      </c>
      <c r="E629" s="3">
        <v>18440</v>
      </c>
      <c r="F629" s="3">
        <v>5700</v>
      </c>
      <c r="G629" s="3">
        <v>5.92</v>
      </c>
      <c r="H629" s="3">
        <f t="shared" si="111"/>
        <v>2.6799999999999997</v>
      </c>
      <c r="I629" s="3">
        <v>33730</v>
      </c>
      <c r="J629" s="3" t="s">
        <v>1</v>
      </c>
      <c r="K629" s="3" t="s">
        <v>1</v>
      </c>
      <c r="L629" s="3" t="s">
        <v>1</v>
      </c>
      <c r="M629" s="5">
        <v>15290</v>
      </c>
      <c r="N629" s="5">
        <v>0</v>
      </c>
      <c r="O629" t="str">
        <f t="shared" si="112"/>
        <v>BANKNIFTY</v>
      </c>
      <c r="P629" t="str">
        <f>IF(SEARCH("NIFTY",O629),RIGHT(A629,7),0)</f>
        <v>43100PE</v>
      </c>
      <c r="Q629">
        <f t="shared" si="121"/>
        <v>2.6824561403508773</v>
      </c>
      <c r="S629">
        <v>0</v>
      </c>
    </row>
    <row r="630" spans="1:19" x14ac:dyDescent="0.3">
      <c r="A630" s="1" t="s">
        <v>629</v>
      </c>
      <c r="B630" s="2">
        <v>45134</v>
      </c>
      <c r="C630" s="3">
        <v>1275</v>
      </c>
      <c r="D630" s="3">
        <v>9.68</v>
      </c>
      <c r="E630" s="3">
        <v>12345</v>
      </c>
      <c r="F630" s="3">
        <v>1275</v>
      </c>
      <c r="G630" s="3">
        <v>18.63</v>
      </c>
      <c r="H630" s="3">
        <f t="shared" si="111"/>
        <v>8.9499999999999993</v>
      </c>
      <c r="I630" s="3">
        <v>23754</v>
      </c>
      <c r="J630" s="3" t="s">
        <v>1</v>
      </c>
      <c r="K630" s="3" t="s">
        <v>1</v>
      </c>
      <c r="L630" s="3" t="s">
        <v>1</v>
      </c>
      <c r="M630" s="5">
        <v>11409</v>
      </c>
      <c r="N630" s="5">
        <v>0</v>
      </c>
      <c r="O630" t="str">
        <f t="shared" si="112"/>
        <v>BANKNIFTY</v>
      </c>
      <c r="P630" t="str">
        <f>IF(SEARCH("NIFTY",O630),RIGHT(A630,7),0)</f>
        <v>45500PE</v>
      </c>
      <c r="Q630">
        <f t="shared" si="121"/>
        <v>8.9482352941176462</v>
      </c>
      <c r="S630">
        <v>0</v>
      </c>
    </row>
    <row r="631" spans="1:19" x14ac:dyDescent="0.3">
      <c r="A631" s="1" t="s">
        <v>630</v>
      </c>
      <c r="B631" s="2">
        <v>45036</v>
      </c>
      <c r="C631" s="3">
        <v>1800</v>
      </c>
      <c r="D631" s="3">
        <v>14.55</v>
      </c>
      <c r="E631" s="3">
        <v>26190</v>
      </c>
      <c r="F631" s="3">
        <v>1800</v>
      </c>
      <c r="G631" s="3">
        <v>15.9</v>
      </c>
      <c r="H631" s="3">
        <f t="shared" si="111"/>
        <v>1.3499999999999996</v>
      </c>
      <c r="I631" s="3">
        <v>28625</v>
      </c>
      <c r="J631" s="3" t="s">
        <v>1</v>
      </c>
      <c r="K631" s="3" t="s">
        <v>1</v>
      </c>
      <c r="L631" s="3" t="s">
        <v>1</v>
      </c>
      <c r="M631" s="5">
        <v>2435</v>
      </c>
      <c r="N631" s="5">
        <v>0</v>
      </c>
      <c r="O631" t="str">
        <f t="shared" si="112"/>
        <v>BANKNIFTY</v>
      </c>
      <c r="P631" t="str">
        <f>IF(SEARCH("NIFTY",O631),RIGHT(A631,7),0)</f>
        <v>41400PE</v>
      </c>
      <c r="Q631">
        <f t="shared" si="121"/>
        <v>1.3527777777777779</v>
      </c>
      <c r="S631">
        <v>0</v>
      </c>
    </row>
    <row r="632" spans="1:19" x14ac:dyDescent="0.3">
      <c r="A632" s="1" t="s">
        <v>631</v>
      </c>
      <c r="B632" s="2">
        <v>45092</v>
      </c>
      <c r="C632" s="3">
        <v>500</v>
      </c>
      <c r="D632" s="3">
        <v>29.68</v>
      </c>
      <c r="E632" s="3">
        <v>14838.75</v>
      </c>
      <c r="F632" s="3">
        <v>500</v>
      </c>
      <c r="G632" s="3">
        <v>35.049999999999997</v>
      </c>
      <c r="H632" s="3">
        <f t="shared" si="111"/>
        <v>5.3699999999999974</v>
      </c>
      <c r="I632" s="3">
        <v>17525</v>
      </c>
      <c r="J632" s="3" t="s">
        <v>1</v>
      </c>
      <c r="K632" s="3" t="s">
        <v>1</v>
      </c>
      <c r="L632" s="3" t="s">
        <v>1</v>
      </c>
      <c r="M632" s="5">
        <v>2686.25</v>
      </c>
      <c r="N632" s="5">
        <v>0</v>
      </c>
      <c r="O632" t="str">
        <f t="shared" si="112"/>
        <v>BANKNIFTY</v>
      </c>
      <c r="P632" t="str">
        <f>IF(SEARCH("NIFTY",O632),RIGHT(A632,7),0)</f>
        <v>43100PE</v>
      </c>
      <c r="Q632">
        <f t="shared" si="121"/>
        <v>5.3724999999999996</v>
      </c>
      <c r="S632">
        <v>0</v>
      </c>
    </row>
    <row r="633" spans="1:19" hidden="1" x14ac:dyDescent="0.3">
      <c r="A633" s="1" t="s">
        <v>632</v>
      </c>
      <c r="B633" s="2">
        <v>45085</v>
      </c>
      <c r="C633" s="3">
        <v>4500</v>
      </c>
      <c r="D633" s="3">
        <v>9.02</v>
      </c>
      <c r="E633" s="3">
        <v>40575</v>
      </c>
      <c r="F633" s="3">
        <v>4500</v>
      </c>
      <c r="G633" s="3">
        <v>7.56</v>
      </c>
      <c r="H633" s="3">
        <f t="shared" si="111"/>
        <v>-1.46</v>
      </c>
      <c r="I633" s="3">
        <v>34000</v>
      </c>
      <c r="J633" s="3" t="s">
        <v>1</v>
      </c>
      <c r="K633" s="3" t="s">
        <v>1</v>
      </c>
      <c r="L633" s="3" t="s">
        <v>1</v>
      </c>
      <c r="M633" s="4">
        <v>-6575</v>
      </c>
      <c r="N633" s="5">
        <v>0</v>
      </c>
      <c r="O633" t="str">
        <f t="shared" si="112"/>
        <v>NIFTY</v>
      </c>
      <c r="P633" t="str">
        <f>IF(SEARCH("NIFTY",O633),RIGHT(A633,7),0)</f>
        <v>18750CE</v>
      </c>
      <c r="S633">
        <v>0</v>
      </c>
    </row>
    <row r="634" spans="1:19" hidden="1" x14ac:dyDescent="0.3">
      <c r="A634" s="1" t="s">
        <v>633</v>
      </c>
      <c r="B634" s="2">
        <v>45162</v>
      </c>
      <c r="C634" s="3">
        <v>3000</v>
      </c>
      <c r="D634" s="3">
        <v>11.75</v>
      </c>
      <c r="E634" s="3">
        <v>35262.5</v>
      </c>
      <c r="F634" s="3">
        <v>3000</v>
      </c>
      <c r="G634" s="3">
        <v>7.95</v>
      </c>
      <c r="H634" s="3">
        <f t="shared" si="111"/>
        <v>-3.8</v>
      </c>
      <c r="I634" s="3">
        <v>23850</v>
      </c>
      <c r="J634" s="3" t="s">
        <v>1</v>
      </c>
      <c r="K634" s="3" t="s">
        <v>1</v>
      </c>
      <c r="L634" s="3" t="s">
        <v>1</v>
      </c>
      <c r="M634" s="4">
        <v>-11412.5</v>
      </c>
      <c r="N634" s="5">
        <v>0</v>
      </c>
      <c r="O634" t="str">
        <f t="shared" si="112"/>
        <v>NIFTY</v>
      </c>
      <c r="P634" t="str">
        <f>IF(SEARCH("NIFTY",O634),RIGHT(A634,7),0)</f>
        <v>19550CE</v>
      </c>
      <c r="S634">
        <v>0</v>
      </c>
    </row>
    <row r="635" spans="1:19" x14ac:dyDescent="0.3">
      <c r="A635" s="1" t="s">
        <v>634</v>
      </c>
      <c r="B635" s="2">
        <v>45043</v>
      </c>
      <c r="C635" s="3">
        <v>400</v>
      </c>
      <c r="D635" s="3">
        <v>7.8</v>
      </c>
      <c r="E635" s="3">
        <v>3120</v>
      </c>
      <c r="F635" s="3">
        <v>400</v>
      </c>
      <c r="G635" s="3">
        <v>4.75</v>
      </c>
      <c r="H635" s="3">
        <f t="shared" si="111"/>
        <v>-3.05</v>
      </c>
      <c r="I635" s="3">
        <v>1900</v>
      </c>
      <c r="J635" s="3" t="s">
        <v>1</v>
      </c>
      <c r="K635" s="3" t="s">
        <v>1</v>
      </c>
      <c r="L635" s="3" t="s">
        <v>1</v>
      </c>
      <c r="M635" s="4">
        <v>-1220</v>
      </c>
      <c r="N635" s="5">
        <v>0</v>
      </c>
      <c r="O635" t="str">
        <f t="shared" si="112"/>
        <v>BANKNIFTY</v>
      </c>
      <c r="P635" t="str">
        <f>IF(SEARCH("NIFTY",O635),RIGHT(A635,7),0)</f>
        <v>39800PE</v>
      </c>
      <c r="Q635">
        <f t="shared" ref="Q635:Q636" si="122">M635/C635</f>
        <v>-3.05</v>
      </c>
      <c r="S635">
        <v>0</v>
      </c>
    </row>
    <row r="636" spans="1:19" x14ac:dyDescent="0.3">
      <c r="A636" s="1" t="s">
        <v>635</v>
      </c>
      <c r="B636" s="2">
        <v>45057</v>
      </c>
      <c r="C636" s="3">
        <v>1200</v>
      </c>
      <c r="D636" s="3">
        <v>57.51</v>
      </c>
      <c r="E636" s="3">
        <v>69015</v>
      </c>
      <c r="F636" s="3">
        <v>1200</v>
      </c>
      <c r="G636" s="3">
        <v>48.98</v>
      </c>
      <c r="H636" s="3">
        <f t="shared" si="111"/>
        <v>-8.5300000000000011</v>
      </c>
      <c r="I636" s="3">
        <v>58770</v>
      </c>
      <c r="J636" s="3" t="s">
        <v>1</v>
      </c>
      <c r="K636" s="3" t="s">
        <v>1</v>
      </c>
      <c r="L636" s="3" t="s">
        <v>1</v>
      </c>
      <c r="M636" s="4">
        <v>-10245</v>
      </c>
      <c r="N636" s="5">
        <v>0</v>
      </c>
      <c r="O636" t="str">
        <f t="shared" si="112"/>
        <v>BANKNIFTY</v>
      </c>
      <c r="P636" t="str">
        <f>IF(SEARCH("NIFTY",O636),RIGHT(A636,7),0)</f>
        <v>43500CE</v>
      </c>
      <c r="Q636">
        <f t="shared" si="122"/>
        <v>-8.5374999999999996</v>
      </c>
      <c r="S636">
        <v>0</v>
      </c>
    </row>
    <row r="637" spans="1:19" hidden="1" x14ac:dyDescent="0.3">
      <c r="A637" s="1" t="s">
        <v>636</v>
      </c>
      <c r="B637" s="2">
        <v>45134</v>
      </c>
      <c r="C637" s="3">
        <v>1000</v>
      </c>
      <c r="D637" s="3">
        <v>75.400000000000006</v>
      </c>
      <c r="E637" s="3">
        <v>75400</v>
      </c>
      <c r="F637" s="3">
        <v>1000</v>
      </c>
      <c r="G637" s="3">
        <v>78.61</v>
      </c>
      <c r="H637" s="3">
        <f t="shared" si="111"/>
        <v>3.2099999999999937</v>
      </c>
      <c r="I637" s="3">
        <v>78612.5</v>
      </c>
      <c r="J637" s="3" t="s">
        <v>1</v>
      </c>
      <c r="K637" s="3" t="s">
        <v>1</v>
      </c>
      <c r="L637" s="3" t="s">
        <v>1</v>
      </c>
      <c r="M637" s="5">
        <v>3212.5</v>
      </c>
      <c r="N637" s="5">
        <v>0</v>
      </c>
      <c r="O637" t="str">
        <f t="shared" si="112"/>
        <v>NIFTY</v>
      </c>
      <c r="P637" t="str">
        <f>IF(SEARCH("NIFTY",O637),RIGHT(A637,7),0)</f>
        <v>19700PE</v>
      </c>
      <c r="S637">
        <v>0</v>
      </c>
    </row>
    <row r="638" spans="1:19" x14ac:dyDescent="0.3">
      <c r="A638" s="1" t="s">
        <v>637</v>
      </c>
      <c r="B638" s="2">
        <v>45169</v>
      </c>
      <c r="C638" s="3">
        <v>360</v>
      </c>
      <c r="D638" s="3">
        <v>52.57</v>
      </c>
      <c r="E638" s="3">
        <v>18924</v>
      </c>
      <c r="F638" s="3">
        <v>360</v>
      </c>
      <c r="G638" s="3">
        <v>37.44</v>
      </c>
      <c r="H638" s="3">
        <f t="shared" si="111"/>
        <v>-15.130000000000003</v>
      </c>
      <c r="I638" s="3">
        <v>13479</v>
      </c>
      <c r="J638" s="3" t="s">
        <v>1</v>
      </c>
      <c r="K638" s="3" t="s">
        <v>1</v>
      </c>
      <c r="L638" s="3" t="s">
        <v>1</v>
      </c>
      <c r="M638" s="4">
        <v>-5445</v>
      </c>
      <c r="N638" s="5">
        <v>0</v>
      </c>
      <c r="O638" t="str">
        <f t="shared" si="112"/>
        <v>BANKNIFTY</v>
      </c>
      <c r="P638" t="str">
        <f>IF(SEARCH("NIFTY",O638),RIGHT(A638,7),0)</f>
        <v>43300PE</v>
      </c>
      <c r="Q638">
        <f>M638/C638</f>
        <v>-15.125</v>
      </c>
      <c r="S638">
        <v>0</v>
      </c>
    </row>
    <row r="639" spans="1:19" hidden="1" x14ac:dyDescent="0.3">
      <c r="A639" s="1" t="s">
        <v>638</v>
      </c>
      <c r="B639" s="2">
        <v>45050</v>
      </c>
      <c r="C639" s="3">
        <v>6000</v>
      </c>
      <c r="D639" s="3">
        <v>1.03</v>
      </c>
      <c r="E639" s="3">
        <v>6175</v>
      </c>
      <c r="F639" s="3">
        <v>6000</v>
      </c>
      <c r="G639" s="3">
        <v>0.9</v>
      </c>
      <c r="H639" s="3">
        <f t="shared" si="111"/>
        <v>-0.13</v>
      </c>
      <c r="I639" s="3">
        <v>5400</v>
      </c>
      <c r="J639" s="3" t="s">
        <v>1</v>
      </c>
      <c r="K639" s="3" t="s">
        <v>1</v>
      </c>
      <c r="L639" s="3" t="s">
        <v>1</v>
      </c>
      <c r="M639" s="4">
        <v>-775</v>
      </c>
      <c r="N639" s="5">
        <v>0</v>
      </c>
      <c r="O639" t="str">
        <f t="shared" si="112"/>
        <v>NIFTY</v>
      </c>
      <c r="P639" t="str">
        <f>IF(SEARCH("NIFTY",O639),RIGHT(A639,7),0)</f>
        <v>18300CE</v>
      </c>
      <c r="S639">
        <v>0</v>
      </c>
    </row>
    <row r="640" spans="1:19" x14ac:dyDescent="0.3">
      <c r="A640" s="1" t="s">
        <v>639</v>
      </c>
      <c r="B640" s="2">
        <v>45120</v>
      </c>
      <c r="C640" s="3">
        <v>500</v>
      </c>
      <c r="D640" s="3">
        <v>121.68</v>
      </c>
      <c r="E640" s="3">
        <v>60841.25</v>
      </c>
      <c r="F640" s="3">
        <v>500</v>
      </c>
      <c r="G640" s="3">
        <v>131.44</v>
      </c>
      <c r="H640" s="3">
        <f t="shared" si="111"/>
        <v>9.7599999999999909</v>
      </c>
      <c r="I640" s="3">
        <v>65717.5</v>
      </c>
      <c r="J640" s="3" t="s">
        <v>1</v>
      </c>
      <c r="K640" s="3" t="s">
        <v>1</v>
      </c>
      <c r="L640" s="3" t="s">
        <v>1</v>
      </c>
      <c r="M640" s="5">
        <v>4876.25</v>
      </c>
      <c r="N640" s="5">
        <v>0</v>
      </c>
      <c r="O640" t="str">
        <f t="shared" si="112"/>
        <v>BANKNIFTY</v>
      </c>
      <c r="P640" t="str">
        <f>IF(SEARCH("NIFTY",O640),RIGHT(A640,7),0)</f>
        <v>45300CE</v>
      </c>
      <c r="Q640">
        <f t="shared" ref="Q640:Q645" si="123">M640/C640</f>
        <v>9.7524999999999995</v>
      </c>
      <c r="S640">
        <v>0</v>
      </c>
    </row>
    <row r="641" spans="1:19" x14ac:dyDescent="0.3">
      <c r="A641" s="1" t="s">
        <v>640</v>
      </c>
      <c r="B641" s="2">
        <v>45169</v>
      </c>
      <c r="C641" s="3">
        <v>5445</v>
      </c>
      <c r="D641" s="3">
        <v>18.95</v>
      </c>
      <c r="E641" s="3">
        <v>103156.5</v>
      </c>
      <c r="F641" s="3">
        <v>5445</v>
      </c>
      <c r="G641" s="3">
        <v>19.18</v>
      </c>
      <c r="H641" s="3">
        <f t="shared" si="111"/>
        <v>0.23000000000000043</v>
      </c>
      <c r="I641" s="3">
        <v>104457.75</v>
      </c>
      <c r="J641" s="3" t="s">
        <v>1</v>
      </c>
      <c r="K641" s="3" t="s">
        <v>1</v>
      </c>
      <c r="L641" s="3" t="s">
        <v>1</v>
      </c>
      <c r="M641" s="5">
        <v>1301.25</v>
      </c>
      <c r="N641" s="5">
        <v>0</v>
      </c>
      <c r="O641" t="str">
        <f t="shared" si="112"/>
        <v>BANKNIFTY</v>
      </c>
      <c r="P641" t="str">
        <f>IF(SEARCH("NIFTY",O641),RIGHT(A641,7),0)</f>
        <v>45000CE</v>
      </c>
      <c r="Q641">
        <f t="shared" si="123"/>
        <v>0.23898071625344353</v>
      </c>
      <c r="S641">
        <v>0</v>
      </c>
    </row>
    <row r="642" spans="1:19" x14ac:dyDescent="0.3">
      <c r="A642" s="1" t="s">
        <v>641</v>
      </c>
      <c r="B642" s="2">
        <v>45113</v>
      </c>
      <c r="C642" s="3">
        <v>500</v>
      </c>
      <c r="D642" s="3">
        <v>3.15</v>
      </c>
      <c r="E642" s="3">
        <v>1575</v>
      </c>
      <c r="F642" s="3">
        <v>500</v>
      </c>
      <c r="G642" s="3">
        <v>3</v>
      </c>
      <c r="H642" s="3">
        <f t="shared" si="111"/>
        <v>-0.14999999999999991</v>
      </c>
      <c r="I642" s="3">
        <v>1500</v>
      </c>
      <c r="J642" s="3" t="s">
        <v>1</v>
      </c>
      <c r="K642" s="3" t="s">
        <v>1</v>
      </c>
      <c r="L642" s="3" t="s">
        <v>1</v>
      </c>
      <c r="M642" s="4">
        <v>-75</v>
      </c>
      <c r="N642" s="5">
        <v>0</v>
      </c>
      <c r="O642" t="str">
        <f t="shared" si="112"/>
        <v>BANKNIFTY</v>
      </c>
      <c r="P642" t="str">
        <f>IF(SEARCH("NIFTY",O642),RIGHT(A642,7),0)</f>
        <v>45900CE</v>
      </c>
      <c r="Q642">
        <f t="shared" si="123"/>
        <v>-0.15</v>
      </c>
      <c r="S642">
        <v>0</v>
      </c>
    </row>
    <row r="643" spans="1:19" x14ac:dyDescent="0.3">
      <c r="A643" s="1" t="s">
        <v>642</v>
      </c>
      <c r="B643" s="2">
        <v>45169</v>
      </c>
      <c r="C643" s="3">
        <v>630</v>
      </c>
      <c r="D643" s="3">
        <v>98.83</v>
      </c>
      <c r="E643" s="3">
        <v>62262</v>
      </c>
      <c r="F643" s="3">
        <v>630</v>
      </c>
      <c r="G643" s="3">
        <v>139.78</v>
      </c>
      <c r="H643" s="3">
        <f t="shared" ref="H643:H684" si="124">G643-D643</f>
        <v>40.950000000000003</v>
      </c>
      <c r="I643" s="3">
        <v>88059.75</v>
      </c>
      <c r="J643" s="3" t="s">
        <v>1</v>
      </c>
      <c r="K643" s="3" t="s">
        <v>1</v>
      </c>
      <c r="L643" s="3" t="s">
        <v>1</v>
      </c>
      <c r="M643" s="5">
        <v>25797.75</v>
      </c>
      <c r="N643" s="5">
        <v>0</v>
      </c>
      <c r="O643" t="str">
        <f t="shared" ref="O643:O684" si="125">LEFT(A643, FIND("NIFTY", A643) +4)</f>
        <v>BANKNIFTY</v>
      </c>
      <c r="P643" t="str">
        <f>IF(SEARCH("NIFTY",O643),RIGHT(A643,7),0)</f>
        <v>44300PE</v>
      </c>
      <c r="Q643">
        <f t="shared" si="123"/>
        <v>40.948809523809523</v>
      </c>
      <c r="S643">
        <v>0</v>
      </c>
    </row>
    <row r="644" spans="1:19" x14ac:dyDescent="0.3">
      <c r="A644" s="1" t="s">
        <v>643</v>
      </c>
      <c r="B644" s="2">
        <v>45043</v>
      </c>
      <c r="C644" s="3">
        <v>3200</v>
      </c>
      <c r="D644" s="3">
        <v>40.96</v>
      </c>
      <c r="E644" s="3">
        <v>131068.75</v>
      </c>
      <c r="F644" s="3">
        <v>3200</v>
      </c>
      <c r="G644" s="3">
        <v>40.54</v>
      </c>
      <c r="H644" s="3">
        <f t="shared" si="124"/>
        <v>-0.42000000000000171</v>
      </c>
      <c r="I644" s="3">
        <v>129715</v>
      </c>
      <c r="J644" s="3" t="s">
        <v>1</v>
      </c>
      <c r="K644" s="3" t="s">
        <v>1</v>
      </c>
      <c r="L644" s="3" t="s">
        <v>1</v>
      </c>
      <c r="M644" s="4">
        <v>-1353.75</v>
      </c>
      <c r="N644" s="5">
        <v>0</v>
      </c>
      <c r="O644" t="str">
        <f t="shared" si="125"/>
        <v>BANKNIFTY</v>
      </c>
      <c r="P644" t="str">
        <f>IF(SEARCH("NIFTY",O644),RIGHT(A644,7),0)</f>
        <v>43000CE</v>
      </c>
      <c r="Q644">
        <f t="shared" si="123"/>
        <v>-0.42304687499999999</v>
      </c>
      <c r="S644">
        <v>0</v>
      </c>
    </row>
    <row r="645" spans="1:19" x14ac:dyDescent="0.3">
      <c r="A645" s="1" t="s">
        <v>644</v>
      </c>
      <c r="B645" s="2">
        <v>45064</v>
      </c>
      <c r="C645" s="3">
        <v>400</v>
      </c>
      <c r="D645" s="3">
        <v>12.12</v>
      </c>
      <c r="E645" s="3">
        <v>4848.75</v>
      </c>
      <c r="F645" s="3">
        <v>400</v>
      </c>
      <c r="G645" s="3">
        <v>10.36</v>
      </c>
      <c r="H645" s="3">
        <f t="shared" si="124"/>
        <v>-1.7599999999999998</v>
      </c>
      <c r="I645" s="3">
        <v>4142.5</v>
      </c>
      <c r="J645" s="3" t="s">
        <v>1</v>
      </c>
      <c r="K645" s="3" t="s">
        <v>1</v>
      </c>
      <c r="L645" s="3" t="s">
        <v>1</v>
      </c>
      <c r="M645" s="4">
        <v>-706.25</v>
      </c>
      <c r="N645" s="5">
        <v>0</v>
      </c>
      <c r="O645" t="str">
        <f t="shared" si="125"/>
        <v>BANKNIFTY</v>
      </c>
      <c r="P645" t="str">
        <f>IF(SEARCH("NIFTY",O645),RIGHT(A645,7),0)</f>
        <v>41000PE</v>
      </c>
      <c r="Q645">
        <f t="shared" si="123"/>
        <v>-1.765625</v>
      </c>
      <c r="S645">
        <v>0</v>
      </c>
    </row>
    <row r="646" spans="1:19" hidden="1" x14ac:dyDescent="0.3">
      <c r="A646" s="1" t="s">
        <v>645</v>
      </c>
      <c r="B646" s="2">
        <v>45097</v>
      </c>
      <c r="C646" s="3">
        <v>2400</v>
      </c>
      <c r="D646" s="3">
        <v>45.38</v>
      </c>
      <c r="E646" s="3">
        <v>108900</v>
      </c>
      <c r="F646" s="3">
        <v>2400</v>
      </c>
      <c r="G646" s="3">
        <v>39.49</v>
      </c>
      <c r="H646" s="3">
        <f t="shared" si="124"/>
        <v>-5.8900000000000006</v>
      </c>
      <c r="I646" s="3">
        <v>94780</v>
      </c>
      <c r="J646" s="3" t="s">
        <v>1</v>
      </c>
      <c r="K646" s="3" t="s">
        <v>1</v>
      </c>
      <c r="L646" s="3" t="s">
        <v>1</v>
      </c>
      <c r="M646" s="4">
        <v>-14120</v>
      </c>
      <c r="N646" s="5">
        <v>0</v>
      </c>
      <c r="O646" t="str">
        <f t="shared" si="125"/>
        <v>FINNIFTY</v>
      </c>
      <c r="P646" t="str">
        <f>IF(SEARCH("NIFTY",O646),RIGHT(A646,7),0)</f>
        <v>19400CE</v>
      </c>
      <c r="S646">
        <v>0</v>
      </c>
    </row>
    <row r="647" spans="1:19" x14ac:dyDescent="0.3">
      <c r="A647" s="1" t="s">
        <v>646</v>
      </c>
      <c r="B647" s="2">
        <v>45113</v>
      </c>
      <c r="C647" s="3">
        <v>2700</v>
      </c>
      <c r="D647" s="3">
        <v>7.26</v>
      </c>
      <c r="E647" s="3">
        <v>19602.5</v>
      </c>
      <c r="F647" s="3">
        <v>2700</v>
      </c>
      <c r="G647" s="3">
        <v>7.39</v>
      </c>
      <c r="H647" s="3">
        <f t="shared" si="124"/>
        <v>0.12999999999999989</v>
      </c>
      <c r="I647" s="3">
        <v>19940</v>
      </c>
      <c r="J647" s="3" t="s">
        <v>1</v>
      </c>
      <c r="K647" s="3" t="s">
        <v>1</v>
      </c>
      <c r="L647" s="3" t="s">
        <v>1</v>
      </c>
      <c r="M647" s="5">
        <v>337.5</v>
      </c>
      <c r="N647" s="5">
        <v>0</v>
      </c>
      <c r="O647" t="str">
        <f t="shared" si="125"/>
        <v>BANKNIFTY</v>
      </c>
      <c r="P647" t="str">
        <f>IF(SEARCH("NIFTY",O647),RIGHT(A647,7),0)</f>
        <v>44800PE</v>
      </c>
      <c r="Q647">
        <f t="shared" ref="Q647:Q650" si="126">M647/C647</f>
        <v>0.125</v>
      </c>
      <c r="S647">
        <v>0</v>
      </c>
    </row>
    <row r="648" spans="1:19" x14ac:dyDescent="0.3">
      <c r="A648" s="1" t="s">
        <v>647</v>
      </c>
      <c r="B648" s="2">
        <v>45105</v>
      </c>
      <c r="C648" s="3">
        <v>850</v>
      </c>
      <c r="D648" s="3">
        <v>140.13999999999999</v>
      </c>
      <c r="E648" s="3">
        <v>119118.75</v>
      </c>
      <c r="F648" s="3">
        <v>850</v>
      </c>
      <c r="G648" s="3">
        <v>136.44</v>
      </c>
      <c r="H648" s="3">
        <f t="shared" si="124"/>
        <v>-3.6999999999999886</v>
      </c>
      <c r="I648" s="3">
        <v>115970</v>
      </c>
      <c r="J648" s="3" t="s">
        <v>1</v>
      </c>
      <c r="K648" s="3" t="s">
        <v>1</v>
      </c>
      <c r="L648" s="3" t="s">
        <v>1</v>
      </c>
      <c r="M648" s="4">
        <v>-3148.75</v>
      </c>
      <c r="N648" s="5">
        <v>0</v>
      </c>
      <c r="O648" t="str">
        <f t="shared" si="125"/>
        <v>BANKNIFTY</v>
      </c>
      <c r="P648" t="str">
        <f>IF(SEARCH("NIFTY",O648),RIGHT(A648,7),0)</f>
        <v>43800CE</v>
      </c>
      <c r="Q648">
        <f t="shared" si="126"/>
        <v>-3.7044117647058825</v>
      </c>
      <c r="S648">
        <v>0</v>
      </c>
    </row>
    <row r="649" spans="1:19" x14ac:dyDescent="0.3">
      <c r="A649" s="1" t="s">
        <v>648</v>
      </c>
      <c r="B649" s="2">
        <v>45099</v>
      </c>
      <c r="C649" s="3">
        <v>3400</v>
      </c>
      <c r="D649" s="3">
        <v>26.2</v>
      </c>
      <c r="E649" s="3">
        <v>89095</v>
      </c>
      <c r="F649" s="3">
        <v>3400</v>
      </c>
      <c r="G649" s="3">
        <v>26.54</v>
      </c>
      <c r="H649" s="3">
        <f t="shared" si="124"/>
        <v>0.33999999999999986</v>
      </c>
      <c r="I649" s="3">
        <v>90240</v>
      </c>
      <c r="J649" s="3" t="s">
        <v>1</v>
      </c>
      <c r="K649" s="3" t="s">
        <v>1</v>
      </c>
      <c r="L649" s="3" t="s">
        <v>1</v>
      </c>
      <c r="M649" s="5">
        <v>1145</v>
      </c>
      <c r="N649" s="5">
        <v>0</v>
      </c>
      <c r="O649" t="str">
        <f t="shared" si="125"/>
        <v>BANKNIFTY</v>
      </c>
      <c r="P649" t="str">
        <f>IF(SEARCH("NIFTY",O649),RIGHT(A649,7),0)</f>
        <v>44700CE</v>
      </c>
      <c r="Q649">
        <f t="shared" si="126"/>
        <v>0.33676470588235297</v>
      </c>
      <c r="S649">
        <v>0</v>
      </c>
    </row>
    <row r="650" spans="1:19" x14ac:dyDescent="0.3">
      <c r="A650" s="1" t="s">
        <v>649</v>
      </c>
      <c r="B650" s="2">
        <v>45169</v>
      </c>
      <c r="C650" s="3">
        <v>495</v>
      </c>
      <c r="D650" s="3">
        <v>13.35</v>
      </c>
      <c r="E650" s="3">
        <v>6608.25</v>
      </c>
      <c r="F650" s="3">
        <v>495</v>
      </c>
      <c r="G650" s="3">
        <v>21.2</v>
      </c>
      <c r="H650" s="3">
        <f t="shared" si="124"/>
        <v>7.85</v>
      </c>
      <c r="I650" s="3">
        <v>10496.25</v>
      </c>
      <c r="J650" s="3" t="s">
        <v>1</v>
      </c>
      <c r="K650" s="3" t="s">
        <v>1</v>
      </c>
      <c r="L650" s="3" t="s">
        <v>1</v>
      </c>
      <c r="M650" s="5">
        <v>3888</v>
      </c>
      <c r="N650" s="5">
        <v>0</v>
      </c>
      <c r="O650" t="str">
        <f t="shared" si="125"/>
        <v>BANKNIFTY</v>
      </c>
      <c r="P650" t="str">
        <f>IF(SEARCH("NIFTY",O650),RIGHT(A650,7),0)</f>
        <v>45200CE</v>
      </c>
      <c r="Q650">
        <f t="shared" si="126"/>
        <v>7.8545454545454545</v>
      </c>
      <c r="S650">
        <v>0</v>
      </c>
    </row>
    <row r="651" spans="1:19" hidden="1" x14ac:dyDescent="0.3">
      <c r="A651" s="1" t="s">
        <v>650</v>
      </c>
      <c r="B651" s="2">
        <v>45036</v>
      </c>
      <c r="C651" s="3">
        <v>3000</v>
      </c>
      <c r="D651" s="3">
        <v>1.65</v>
      </c>
      <c r="E651" s="3">
        <v>4950</v>
      </c>
      <c r="F651" s="3">
        <v>3000</v>
      </c>
      <c r="G651" s="3">
        <v>0.86</v>
      </c>
      <c r="H651" s="3">
        <f t="shared" si="124"/>
        <v>-0.78999999999999992</v>
      </c>
      <c r="I651" s="3">
        <v>2580</v>
      </c>
      <c r="J651" s="3" t="s">
        <v>1</v>
      </c>
      <c r="K651" s="3" t="s">
        <v>1</v>
      </c>
      <c r="L651" s="3" t="s">
        <v>1</v>
      </c>
      <c r="M651" s="4">
        <v>-2370</v>
      </c>
      <c r="N651" s="5">
        <v>0</v>
      </c>
      <c r="O651" t="str">
        <f t="shared" si="125"/>
        <v>NIFTY</v>
      </c>
      <c r="P651" t="str">
        <f>IF(SEARCH("NIFTY",O651),RIGHT(A651,7),0)</f>
        <v>17450PE</v>
      </c>
      <c r="S651">
        <v>0</v>
      </c>
    </row>
    <row r="652" spans="1:19" x14ac:dyDescent="0.3">
      <c r="A652" s="1" t="s">
        <v>651</v>
      </c>
      <c r="B652" s="2">
        <v>45057</v>
      </c>
      <c r="C652" s="3">
        <v>3900</v>
      </c>
      <c r="D652" s="3">
        <v>25.88</v>
      </c>
      <c r="E652" s="3">
        <v>100912.5</v>
      </c>
      <c r="F652" s="3">
        <v>3900</v>
      </c>
      <c r="G652" s="3">
        <v>25.77</v>
      </c>
      <c r="H652" s="3">
        <f t="shared" si="124"/>
        <v>-0.10999999999999943</v>
      </c>
      <c r="I652" s="3">
        <v>100483.75</v>
      </c>
      <c r="J652" s="3" t="s">
        <v>1</v>
      </c>
      <c r="K652" s="3" t="s">
        <v>1</v>
      </c>
      <c r="L652" s="3" t="s">
        <v>1</v>
      </c>
      <c r="M652" s="4">
        <v>-428.75</v>
      </c>
      <c r="N652" s="5">
        <v>0</v>
      </c>
      <c r="O652" t="str">
        <f t="shared" si="125"/>
        <v>BANKNIFTY</v>
      </c>
      <c r="P652" t="str">
        <f>IF(SEARCH("NIFTY",O652),RIGHT(A652,7),0)</f>
        <v>42000PE</v>
      </c>
      <c r="Q652">
        <f t="shared" ref="Q652:Q655" si="127">M652/C652</f>
        <v>-0.10993589743589743</v>
      </c>
      <c r="S652">
        <v>0</v>
      </c>
    </row>
    <row r="653" spans="1:19" x14ac:dyDescent="0.3">
      <c r="A653" s="1" t="s">
        <v>652</v>
      </c>
      <c r="B653" s="2">
        <v>45085</v>
      </c>
      <c r="C653" s="3">
        <v>750</v>
      </c>
      <c r="D653" s="3">
        <v>90</v>
      </c>
      <c r="E653" s="3">
        <v>67500</v>
      </c>
      <c r="F653" s="3">
        <v>750</v>
      </c>
      <c r="G653" s="3">
        <v>46.19</v>
      </c>
      <c r="H653" s="3">
        <f t="shared" si="124"/>
        <v>-43.81</v>
      </c>
      <c r="I653" s="3">
        <v>34642.5</v>
      </c>
      <c r="J653" s="3" t="s">
        <v>1</v>
      </c>
      <c r="K653" s="3" t="s">
        <v>1</v>
      </c>
      <c r="L653" s="3" t="s">
        <v>1</v>
      </c>
      <c r="M653" s="4">
        <v>-32857.5</v>
      </c>
      <c r="N653" s="5">
        <v>0</v>
      </c>
      <c r="O653" t="str">
        <f t="shared" si="125"/>
        <v>BANKNIFTY</v>
      </c>
      <c r="P653" t="str">
        <f>IF(SEARCH("NIFTY",O653),RIGHT(A653,7),0)</f>
        <v>44300PE</v>
      </c>
      <c r="Q653">
        <f t="shared" si="127"/>
        <v>-43.81</v>
      </c>
      <c r="S653">
        <v>0</v>
      </c>
    </row>
    <row r="654" spans="1:19" x14ac:dyDescent="0.3">
      <c r="A654" s="1" t="s">
        <v>653</v>
      </c>
      <c r="B654" s="2">
        <v>45043</v>
      </c>
      <c r="C654" s="3">
        <v>1000</v>
      </c>
      <c r="D654" s="3">
        <v>38.409999999999997</v>
      </c>
      <c r="E654" s="3">
        <v>38413.75</v>
      </c>
      <c r="F654" s="3">
        <v>1000</v>
      </c>
      <c r="G654" s="3">
        <v>41.13</v>
      </c>
      <c r="H654" s="3">
        <f t="shared" si="124"/>
        <v>2.720000000000006</v>
      </c>
      <c r="I654" s="3">
        <v>41127.5</v>
      </c>
      <c r="J654" s="3" t="s">
        <v>1</v>
      </c>
      <c r="K654" s="3" t="s">
        <v>1</v>
      </c>
      <c r="L654" s="3" t="s">
        <v>1</v>
      </c>
      <c r="M654" s="5">
        <v>2713.75</v>
      </c>
      <c r="N654" s="5">
        <v>0</v>
      </c>
      <c r="O654" t="str">
        <f t="shared" si="125"/>
        <v>BANKNIFTY</v>
      </c>
      <c r="P654" t="str">
        <f>IF(SEARCH("NIFTY",O654),RIGHT(A654,7),0)</f>
        <v>42900CE</v>
      </c>
      <c r="Q654">
        <f t="shared" si="127"/>
        <v>2.7137500000000001</v>
      </c>
      <c r="S654">
        <v>0</v>
      </c>
    </row>
    <row r="655" spans="1:19" x14ac:dyDescent="0.3">
      <c r="A655" s="1" t="s">
        <v>654</v>
      </c>
      <c r="B655" s="2">
        <v>45043</v>
      </c>
      <c r="C655" s="3">
        <v>3700</v>
      </c>
      <c r="D655" s="3">
        <v>15.65</v>
      </c>
      <c r="E655" s="3">
        <v>57911.25</v>
      </c>
      <c r="F655" s="3">
        <v>3700</v>
      </c>
      <c r="G655" s="3">
        <v>17.93</v>
      </c>
      <c r="H655" s="3">
        <f t="shared" si="124"/>
        <v>2.2799999999999994</v>
      </c>
      <c r="I655" s="3">
        <v>66335</v>
      </c>
      <c r="J655" s="3" t="s">
        <v>1</v>
      </c>
      <c r="K655" s="3" t="s">
        <v>1</v>
      </c>
      <c r="L655" s="3" t="s">
        <v>1</v>
      </c>
      <c r="M655" s="5">
        <v>8423.75</v>
      </c>
      <c r="N655" s="5">
        <v>0</v>
      </c>
      <c r="O655" t="str">
        <f t="shared" si="125"/>
        <v>BANKNIFTY</v>
      </c>
      <c r="P655" t="str">
        <f>IF(SEARCH("NIFTY",O655),RIGHT(A655,7),0)</f>
        <v>43300CE</v>
      </c>
      <c r="Q655">
        <f t="shared" si="127"/>
        <v>2.2766891891891894</v>
      </c>
      <c r="S655">
        <v>0</v>
      </c>
    </row>
    <row r="656" spans="1:19" hidden="1" x14ac:dyDescent="0.3">
      <c r="A656" s="1" t="s">
        <v>655</v>
      </c>
      <c r="B656" s="2">
        <v>45057</v>
      </c>
      <c r="C656" s="3">
        <v>2500</v>
      </c>
      <c r="D656" s="3">
        <v>2.1</v>
      </c>
      <c r="E656" s="3">
        <v>5250</v>
      </c>
      <c r="F656" s="3">
        <v>2500</v>
      </c>
      <c r="G656" s="3">
        <v>1.8</v>
      </c>
      <c r="H656" s="3">
        <f t="shared" si="124"/>
        <v>-0.30000000000000004</v>
      </c>
      <c r="I656" s="3">
        <v>4500</v>
      </c>
      <c r="J656" s="3" t="s">
        <v>1</v>
      </c>
      <c r="K656" s="3" t="s">
        <v>1</v>
      </c>
      <c r="L656" s="3" t="s">
        <v>1</v>
      </c>
      <c r="M656" s="4">
        <v>-750</v>
      </c>
      <c r="N656" s="5">
        <v>0</v>
      </c>
      <c r="O656" t="str">
        <f t="shared" si="125"/>
        <v>NIFTY</v>
      </c>
      <c r="P656" t="str">
        <f>IF(SEARCH("NIFTY",O656),RIGHT(A656,7),0)</f>
        <v>17400PE</v>
      </c>
      <c r="S656">
        <v>0</v>
      </c>
    </row>
    <row r="657" spans="1:19" hidden="1" x14ac:dyDescent="0.3">
      <c r="A657" s="1" t="s">
        <v>656</v>
      </c>
      <c r="B657" s="2">
        <v>45076</v>
      </c>
      <c r="C657" s="3">
        <v>2000</v>
      </c>
      <c r="D657" s="3">
        <v>8.9</v>
      </c>
      <c r="E657" s="3">
        <v>17796</v>
      </c>
      <c r="F657" s="3">
        <v>2000</v>
      </c>
      <c r="G657" s="3">
        <v>11.65</v>
      </c>
      <c r="H657" s="3">
        <f t="shared" si="124"/>
        <v>2.75</v>
      </c>
      <c r="I657" s="3">
        <v>23290</v>
      </c>
      <c r="J657" s="3" t="s">
        <v>1</v>
      </c>
      <c r="K657" s="3" t="s">
        <v>1</v>
      </c>
      <c r="L657" s="3" t="s">
        <v>1</v>
      </c>
      <c r="M657" s="5">
        <v>5494</v>
      </c>
      <c r="N657" s="5">
        <v>0</v>
      </c>
      <c r="O657" t="str">
        <f t="shared" si="125"/>
        <v>FINNIFTY</v>
      </c>
      <c r="P657" t="str">
        <f>IF(SEARCH("NIFTY",O657),RIGHT(A657,7),0)</f>
        <v>19450PE</v>
      </c>
      <c r="S657">
        <v>0</v>
      </c>
    </row>
    <row r="658" spans="1:19" x14ac:dyDescent="0.3">
      <c r="A658" s="1" t="s">
        <v>657</v>
      </c>
      <c r="B658" s="2">
        <v>45085</v>
      </c>
      <c r="C658" s="3">
        <v>400</v>
      </c>
      <c r="D658" s="3">
        <v>5.75</v>
      </c>
      <c r="E658" s="3">
        <v>2300</v>
      </c>
      <c r="F658" s="3">
        <v>400</v>
      </c>
      <c r="G658" s="3">
        <v>4.8</v>
      </c>
      <c r="H658" s="3">
        <f t="shared" si="124"/>
        <v>-0.95000000000000018</v>
      </c>
      <c r="I658" s="3">
        <v>1920</v>
      </c>
      <c r="J658" s="3" t="s">
        <v>1</v>
      </c>
      <c r="K658" s="3" t="s">
        <v>1</v>
      </c>
      <c r="L658" s="3" t="s">
        <v>1</v>
      </c>
      <c r="M658" s="4">
        <v>-380</v>
      </c>
      <c r="N658" s="5">
        <v>0</v>
      </c>
      <c r="O658" t="str">
        <f t="shared" si="125"/>
        <v>BANKNIFTY</v>
      </c>
      <c r="P658" t="str">
        <f>IF(SEARCH("NIFTY",O658),RIGHT(A658,7),0)</f>
        <v>42000PE</v>
      </c>
      <c r="Q658">
        <f>M658/C658</f>
        <v>-0.95</v>
      </c>
      <c r="S658">
        <v>0</v>
      </c>
    </row>
    <row r="659" spans="1:19" hidden="1" x14ac:dyDescent="0.3">
      <c r="A659" s="1" t="s">
        <v>658</v>
      </c>
      <c r="B659" s="2">
        <v>45050</v>
      </c>
      <c r="C659" s="3">
        <v>5000</v>
      </c>
      <c r="D659" s="3">
        <v>17.28</v>
      </c>
      <c r="E659" s="3">
        <v>86395</v>
      </c>
      <c r="F659" s="3">
        <v>5000</v>
      </c>
      <c r="G659" s="3">
        <v>16.73</v>
      </c>
      <c r="H659" s="3">
        <f t="shared" si="124"/>
        <v>-0.55000000000000071</v>
      </c>
      <c r="I659" s="3">
        <v>83630</v>
      </c>
      <c r="J659" s="3" t="s">
        <v>1</v>
      </c>
      <c r="K659" s="3" t="s">
        <v>1</v>
      </c>
      <c r="L659" s="3" t="s">
        <v>1</v>
      </c>
      <c r="M659" s="4">
        <v>-2765</v>
      </c>
      <c r="N659" s="5">
        <v>0</v>
      </c>
      <c r="O659" t="str">
        <f t="shared" si="125"/>
        <v>NIFTY</v>
      </c>
      <c r="P659" t="str">
        <f>IF(SEARCH("NIFTY",O659),RIGHT(A659,7),0)</f>
        <v>18150CE</v>
      </c>
      <c r="S659">
        <v>0</v>
      </c>
    </row>
    <row r="660" spans="1:19" x14ac:dyDescent="0.3">
      <c r="A660" s="1" t="s">
        <v>659</v>
      </c>
      <c r="B660" s="2">
        <v>45120</v>
      </c>
      <c r="C660" s="3">
        <v>375</v>
      </c>
      <c r="D660" s="3">
        <v>9.0500000000000007</v>
      </c>
      <c r="E660" s="3">
        <v>3393.75</v>
      </c>
      <c r="F660" s="3">
        <v>375</v>
      </c>
      <c r="G660" s="3">
        <v>8.85</v>
      </c>
      <c r="H660" s="3">
        <f t="shared" si="124"/>
        <v>-0.20000000000000107</v>
      </c>
      <c r="I660" s="3">
        <v>3317.5</v>
      </c>
      <c r="J660" s="3" t="s">
        <v>1</v>
      </c>
      <c r="K660" s="3" t="s">
        <v>1</v>
      </c>
      <c r="L660" s="3" t="s">
        <v>1</v>
      </c>
      <c r="M660" s="4">
        <v>-76.25</v>
      </c>
      <c r="N660" s="5">
        <v>0</v>
      </c>
      <c r="O660" t="str">
        <f t="shared" si="125"/>
        <v>BANKNIFTY</v>
      </c>
      <c r="P660" t="str">
        <f>IF(SEARCH("NIFTY",O660),RIGHT(A660,7),0)</f>
        <v>47000CE</v>
      </c>
      <c r="Q660">
        <f>M660/C660</f>
        <v>-0.20333333333333334</v>
      </c>
      <c r="S660">
        <v>0</v>
      </c>
    </row>
    <row r="661" spans="1:19" hidden="1" x14ac:dyDescent="0.3">
      <c r="A661" s="1" t="s">
        <v>660</v>
      </c>
      <c r="B661" s="2">
        <v>45055</v>
      </c>
      <c r="C661" s="3">
        <v>6400</v>
      </c>
      <c r="D661" s="3">
        <v>3.05</v>
      </c>
      <c r="E661" s="3">
        <v>19520</v>
      </c>
      <c r="F661" s="3">
        <v>6400</v>
      </c>
      <c r="G661" s="3">
        <v>4.41</v>
      </c>
      <c r="H661" s="3">
        <f t="shared" si="124"/>
        <v>1.3600000000000003</v>
      </c>
      <c r="I661" s="3">
        <v>28240</v>
      </c>
      <c r="J661" s="3" t="s">
        <v>1</v>
      </c>
      <c r="K661" s="3" t="s">
        <v>1</v>
      </c>
      <c r="L661" s="3" t="s">
        <v>1</v>
      </c>
      <c r="M661" s="5">
        <v>8720</v>
      </c>
      <c r="N661" s="5">
        <v>0</v>
      </c>
      <c r="O661" t="str">
        <f t="shared" si="125"/>
        <v>FINNIFTY</v>
      </c>
      <c r="P661" t="str">
        <f>IF(SEARCH("NIFTY",O661),RIGHT(A661,7),0)</f>
        <v>19500CE</v>
      </c>
      <c r="S661">
        <v>0</v>
      </c>
    </row>
    <row r="662" spans="1:19" x14ac:dyDescent="0.3">
      <c r="A662" s="1" t="s">
        <v>661</v>
      </c>
      <c r="B662" s="2">
        <v>45043</v>
      </c>
      <c r="C662" s="3">
        <v>900</v>
      </c>
      <c r="D662" s="3">
        <v>10.35</v>
      </c>
      <c r="E662" s="3">
        <v>9315</v>
      </c>
      <c r="F662" s="3">
        <v>900</v>
      </c>
      <c r="G662" s="3">
        <v>11.75</v>
      </c>
      <c r="H662" s="3">
        <f t="shared" si="124"/>
        <v>1.4000000000000004</v>
      </c>
      <c r="I662" s="3">
        <v>10575</v>
      </c>
      <c r="J662" s="3" t="s">
        <v>1</v>
      </c>
      <c r="K662" s="3" t="s">
        <v>1</v>
      </c>
      <c r="L662" s="3" t="s">
        <v>1</v>
      </c>
      <c r="M662" s="5">
        <v>1260</v>
      </c>
      <c r="N662" s="5">
        <v>0</v>
      </c>
      <c r="O662" t="str">
        <f t="shared" si="125"/>
        <v>BANKNIFTY</v>
      </c>
      <c r="P662" t="str">
        <f>IF(SEARCH("NIFTY",O662),RIGHT(A662,7),0)</f>
        <v>42600PE</v>
      </c>
      <c r="Q662">
        <f t="shared" ref="Q662:Q663" si="128">M662/C662</f>
        <v>1.4</v>
      </c>
      <c r="S662">
        <v>0</v>
      </c>
    </row>
    <row r="663" spans="1:19" x14ac:dyDescent="0.3">
      <c r="A663" s="1" t="s">
        <v>662</v>
      </c>
      <c r="B663" s="2">
        <v>45071</v>
      </c>
      <c r="C663" s="3">
        <v>600</v>
      </c>
      <c r="D663" s="3">
        <v>5.3</v>
      </c>
      <c r="E663" s="3">
        <v>3180</v>
      </c>
      <c r="F663" s="3">
        <v>600</v>
      </c>
      <c r="G663" s="3">
        <v>15.29</v>
      </c>
      <c r="H663" s="3">
        <f t="shared" si="124"/>
        <v>9.9899999999999984</v>
      </c>
      <c r="I663" s="3">
        <v>9172.5</v>
      </c>
      <c r="J663" s="3" t="s">
        <v>1</v>
      </c>
      <c r="K663" s="3" t="s">
        <v>1</v>
      </c>
      <c r="L663" s="3" t="s">
        <v>1</v>
      </c>
      <c r="M663" s="5">
        <v>5992.5</v>
      </c>
      <c r="N663" s="5">
        <v>0</v>
      </c>
      <c r="O663" t="str">
        <f t="shared" si="125"/>
        <v>BANKNIFTY</v>
      </c>
      <c r="P663" t="str">
        <f>IF(SEARCH("NIFTY",O663),RIGHT(A663,7),0)</f>
        <v>43900CE</v>
      </c>
      <c r="Q663">
        <f t="shared" si="128"/>
        <v>9.9875000000000007</v>
      </c>
      <c r="S663">
        <v>0</v>
      </c>
    </row>
    <row r="664" spans="1:19" hidden="1" x14ac:dyDescent="0.3">
      <c r="A664" s="1" t="s">
        <v>663</v>
      </c>
      <c r="B664" s="2">
        <v>45169</v>
      </c>
      <c r="C664" s="3">
        <v>3500</v>
      </c>
      <c r="D664" s="3">
        <v>3.2</v>
      </c>
      <c r="E664" s="3">
        <v>11200</v>
      </c>
      <c r="F664" s="3">
        <v>3500</v>
      </c>
      <c r="G664" s="3">
        <v>0.72</v>
      </c>
      <c r="H664" s="3">
        <f t="shared" si="124"/>
        <v>-2.4800000000000004</v>
      </c>
      <c r="I664" s="3">
        <v>2520</v>
      </c>
      <c r="J664" s="3" t="s">
        <v>1</v>
      </c>
      <c r="K664" s="3" t="s">
        <v>1</v>
      </c>
      <c r="L664" s="3" t="s">
        <v>1</v>
      </c>
      <c r="M664" s="4">
        <v>-8680</v>
      </c>
      <c r="N664" s="5">
        <v>0</v>
      </c>
      <c r="O664" t="e">
        <f t="shared" si="125"/>
        <v>#VALUE!</v>
      </c>
      <c r="P664" t="e">
        <f>IF(SEARCH("NIFTY",O664),RIGHT(A664,7),0)</f>
        <v>#VALUE!</v>
      </c>
      <c r="S664">
        <v>0</v>
      </c>
    </row>
    <row r="665" spans="1:19" x14ac:dyDescent="0.3">
      <c r="A665" s="1" t="s">
        <v>664</v>
      </c>
      <c r="B665" s="2">
        <v>45036</v>
      </c>
      <c r="C665" s="3">
        <v>1600</v>
      </c>
      <c r="D665" s="3">
        <v>17.82</v>
      </c>
      <c r="E665" s="3">
        <v>28510</v>
      </c>
      <c r="F665" s="3">
        <v>1600</v>
      </c>
      <c r="G665" s="3">
        <v>23.16</v>
      </c>
      <c r="H665" s="3">
        <f t="shared" si="124"/>
        <v>5.34</v>
      </c>
      <c r="I665" s="3">
        <v>37050</v>
      </c>
      <c r="J665" s="3" t="s">
        <v>1</v>
      </c>
      <c r="K665" s="3" t="s">
        <v>1</v>
      </c>
      <c r="L665" s="3" t="s">
        <v>1</v>
      </c>
      <c r="M665" s="5">
        <v>8540</v>
      </c>
      <c r="N665" s="5">
        <v>0</v>
      </c>
      <c r="O665" t="str">
        <f t="shared" si="125"/>
        <v>BANKNIFTY</v>
      </c>
      <c r="P665" t="str">
        <f>IF(SEARCH("NIFTY",O665),RIGHT(A665,7),0)</f>
        <v>41900PE</v>
      </c>
      <c r="Q665">
        <f>M665/C665</f>
        <v>5.3375000000000004</v>
      </c>
      <c r="S665">
        <v>0</v>
      </c>
    </row>
    <row r="666" spans="1:19" hidden="1" x14ac:dyDescent="0.3">
      <c r="A666" s="1" t="s">
        <v>665</v>
      </c>
      <c r="B666" s="2">
        <v>45078</v>
      </c>
      <c r="C666" s="3">
        <v>12000</v>
      </c>
      <c r="D666" s="3">
        <v>2.1800000000000002</v>
      </c>
      <c r="E666" s="3">
        <v>26100</v>
      </c>
      <c r="F666" s="3">
        <v>12000</v>
      </c>
      <c r="G666" s="3">
        <v>2.02</v>
      </c>
      <c r="H666" s="3">
        <f t="shared" si="124"/>
        <v>-0.16000000000000014</v>
      </c>
      <c r="I666" s="3">
        <v>24202.5</v>
      </c>
      <c r="J666" s="3" t="s">
        <v>1</v>
      </c>
      <c r="K666" s="3" t="s">
        <v>1</v>
      </c>
      <c r="L666" s="3" t="s">
        <v>1</v>
      </c>
      <c r="M666" s="4">
        <v>-1897.5</v>
      </c>
      <c r="N666" s="5">
        <v>0</v>
      </c>
      <c r="O666" t="str">
        <f t="shared" si="125"/>
        <v>NIFTY</v>
      </c>
      <c r="P666" t="str">
        <f>IF(SEARCH("NIFTY",O666),RIGHT(A666,7),0)</f>
        <v>18400PE</v>
      </c>
      <c r="S666">
        <v>0</v>
      </c>
    </row>
    <row r="667" spans="1:19" hidden="1" x14ac:dyDescent="0.3">
      <c r="A667" s="1" t="s">
        <v>666</v>
      </c>
      <c r="B667" s="2">
        <v>45197</v>
      </c>
      <c r="C667" s="3">
        <v>450</v>
      </c>
      <c r="D667" s="3">
        <v>200.71</v>
      </c>
      <c r="E667" s="3">
        <v>90320</v>
      </c>
      <c r="F667" s="3">
        <v>450</v>
      </c>
      <c r="G667" s="3">
        <v>253.61</v>
      </c>
      <c r="H667" s="3">
        <f t="shared" si="124"/>
        <v>52.900000000000006</v>
      </c>
      <c r="I667" s="3">
        <v>114125</v>
      </c>
      <c r="J667" s="3" t="s">
        <v>1</v>
      </c>
      <c r="K667" s="3" t="s">
        <v>1</v>
      </c>
      <c r="L667" s="3" t="s">
        <v>1</v>
      </c>
      <c r="M667" s="5">
        <v>23805</v>
      </c>
      <c r="N667" s="5">
        <v>0</v>
      </c>
      <c r="O667" t="str">
        <f t="shared" si="125"/>
        <v>NIFTY</v>
      </c>
      <c r="P667" t="str">
        <f>IF(SEARCH("NIFTY",O667),RIGHT(A667,7),0)</f>
        <v>19500PE</v>
      </c>
      <c r="S667">
        <v>0</v>
      </c>
    </row>
    <row r="668" spans="1:19" hidden="1" x14ac:dyDescent="0.3">
      <c r="A668" s="1" t="s">
        <v>667</v>
      </c>
      <c r="B668" s="2">
        <v>45043</v>
      </c>
      <c r="C668" s="3">
        <v>1500</v>
      </c>
      <c r="D668" s="3">
        <v>4.38</v>
      </c>
      <c r="E668" s="3">
        <v>6575</v>
      </c>
      <c r="F668" s="3">
        <v>1500</v>
      </c>
      <c r="G668" s="3">
        <v>0.05</v>
      </c>
      <c r="H668" s="3">
        <f t="shared" si="124"/>
        <v>-4.33</v>
      </c>
      <c r="I668" s="3">
        <v>75</v>
      </c>
      <c r="J668" s="3" t="s">
        <v>1</v>
      </c>
      <c r="K668" s="3" t="s">
        <v>1</v>
      </c>
      <c r="L668" s="3" t="s">
        <v>1</v>
      </c>
      <c r="M668" s="4">
        <v>-6500</v>
      </c>
      <c r="N668" s="5">
        <v>0</v>
      </c>
      <c r="O668" t="str">
        <f t="shared" si="125"/>
        <v>NIFTY</v>
      </c>
      <c r="P668" t="str">
        <f>IF(SEARCH("NIFTY",O668),RIGHT(A668,7),0)</f>
        <v>17850PE</v>
      </c>
      <c r="S668">
        <v>0</v>
      </c>
    </row>
    <row r="669" spans="1:19" x14ac:dyDescent="0.3">
      <c r="A669" s="1" t="s">
        <v>668</v>
      </c>
      <c r="B669" s="2">
        <v>45064</v>
      </c>
      <c r="C669" s="3">
        <v>650</v>
      </c>
      <c r="D669" s="3">
        <v>16.97</v>
      </c>
      <c r="E669" s="3">
        <v>11030</v>
      </c>
      <c r="F669" s="3">
        <v>650</v>
      </c>
      <c r="G669" s="3">
        <v>14.1</v>
      </c>
      <c r="H669" s="3">
        <f t="shared" si="124"/>
        <v>-2.8699999999999992</v>
      </c>
      <c r="I669" s="3">
        <v>9165</v>
      </c>
      <c r="J669" s="3" t="s">
        <v>1</v>
      </c>
      <c r="K669" s="3" t="s">
        <v>1</v>
      </c>
      <c r="L669" s="3" t="s">
        <v>1</v>
      </c>
      <c r="M669" s="4">
        <v>-1865</v>
      </c>
      <c r="N669" s="5">
        <v>0</v>
      </c>
      <c r="O669" t="str">
        <f t="shared" si="125"/>
        <v>BANKNIFTY</v>
      </c>
      <c r="P669" t="str">
        <f>IF(SEARCH("NIFTY",O669),RIGHT(A669,7),0)</f>
        <v>45000CE</v>
      </c>
      <c r="Q669">
        <f t="shared" ref="Q669:Q670" si="129">M669/C669</f>
        <v>-2.8692307692307693</v>
      </c>
      <c r="S669">
        <v>0</v>
      </c>
    </row>
    <row r="670" spans="1:19" x14ac:dyDescent="0.3">
      <c r="A670" s="1" t="s">
        <v>669</v>
      </c>
      <c r="B670" s="2">
        <v>45105</v>
      </c>
      <c r="C670" s="3">
        <v>850</v>
      </c>
      <c r="D670" s="3">
        <v>98.02</v>
      </c>
      <c r="E670" s="3">
        <v>83313.75</v>
      </c>
      <c r="F670" s="3">
        <v>850</v>
      </c>
      <c r="G670" s="3">
        <v>92.26</v>
      </c>
      <c r="H670" s="3">
        <f t="shared" si="124"/>
        <v>-5.7599999999999909</v>
      </c>
      <c r="I670" s="3">
        <v>78425</v>
      </c>
      <c r="J670" s="3" t="s">
        <v>1</v>
      </c>
      <c r="K670" s="3" t="s">
        <v>1</v>
      </c>
      <c r="L670" s="3" t="s">
        <v>1</v>
      </c>
      <c r="M670" s="4">
        <v>-4888.75</v>
      </c>
      <c r="N670" s="5">
        <v>0</v>
      </c>
      <c r="O670" t="str">
        <f t="shared" si="125"/>
        <v>BANKNIFTY</v>
      </c>
      <c r="P670" t="str">
        <f>IF(SEARCH("NIFTY",O670),RIGHT(A670,7),0)</f>
        <v>43900CE</v>
      </c>
      <c r="Q670">
        <f t="shared" si="129"/>
        <v>-5.7514705882352946</v>
      </c>
      <c r="S670">
        <v>0</v>
      </c>
    </row>
    <row r="671" spans="1:19" hidden="1" x14ac:dyDescent="0.3">
      <c r="A671" s="1" t="s">
        <v>670</v>
      </c>
      <c r="B671" s="2">
        <v>45034</v>
      </c>
      <c r="C671" s="3">
        <v>2000</v>
      </c>
      <c r="D671" s="3">
        <v>6.25</v>
      </c>
      <c r="E671" s="3">
        <v>12500</v>
      </c>
      <c r="F671" s="3">
        <v>2000</v>
      </c>
      <c r="G671" s="3">
        <v>7.19</v>
      </c>
      <c r="H671" s="3">
        <f t="shared" si="124"/>
        <v>0.94000000000000039</v>
      </c>
      <c r="I671" s="3">
        <v>14380</v>
      </c>
      <c r="J671" s="3" t="s">
        <v>1</v>
      </c>
      <c r="K671" s="3" t="s">
        <v>1</v>
      </c>
      <c r="L671" s="3" t="s">
        <v>1</v>
      </c>
      <c r="M671" s="5">
        <v>1880</v>
      </c>
      <c r="N671" s="5">
        <v>0</v>
      </c>
      <c r="O671" t="str">
        <f t="shared" si="125"/>
        <v>FINNIFTY</v>
      </c>
      <c r="P671" t="str">
        <f>IF(SEARCH("NIFTY",O671),RIGHT(A671,7),0)</f>
        <v>18950CE</v>
      </c>
      <c r="S671">
        <v>0</v>
      </c>
    </row>
    <row r="672" spans="1:19" hidden="1" x14ac:dyDescent="0.3">
      <c r="A672" s="1" t="s">
        <v>671</v>
      </c>
      <c r="B672" s="2">
        <v>45034</v>
      </c>
      <c r="C672" s="3">
        <v>2000</v>
      </c>
      <c r="D672" s="3">
        <v>2.2999999999999998</v>
      </c>
      <c r="E672" s="3">
        <v>4600</v>
      </c>
      <c r="F672" s="3">
        <v>2000</v>
      </c>
      <c r="G672" s="3">
        <v>0.55000000000000004</v>
      </c>
      <c r="H672" s="3">
        <f t="shared" si="124"/>
        <v>-1.7499999999999998</v>
      </c>
      <c r="I672" s="3">
        <v>1100</v>
      </c>
      <c r="J672" s="3" t="s">
        <v>1</v>
      </c>
      <c r="K672" s="3" t="s">
        <v>1</v>
      </c>
      <c r="L672" s="3" t="s">
        <v>1</v>
      </c>
      <c r="M672" s="4">
        <v>-3500</v>
      </c>
      <c r="N672" s="5">
        <v>0</v>
      </c>
      <c r="O672" t="str">
        <f t="shared" si="125"/>
        <v>FINNIFTY</v>
      </c>
      <c r="P672" t="str">
        <f>IF(SEARCH("NIFTY",O672),RIGHT(A672,7),0)</f>
        <v>18650PE</v>
      </c>
      <c r="S672">
        <v>0</v>
      </c>
    </row>
    <row r="673" spans="1:19" x14ac:dyDescent="0.3">
      <c r="A673" s="1" t="s">
        <v>672</v>
      </c>
      <c r="B673" s="2">
        <v>45092</v>
      </c>
      <c r="C673" s="3">
        <v>500</v>
      </c>
      <c r="D673" s="3">
        <v>29.7</v>
      </c>
      <c r="E673" s="3">
        <v>14850</v>
      </c>
      <c r="F673" s="3">
        <v>500</v>
      </c>
      <c r="G673" s="3">
        <v>30.5</v>
      </c>
      <c r="H673" s="3">
        <f t="shared" si="124"/>
        <v>0.80000000000000071</v>
      </c>
      <c r="I673" s="3">
        <v>15250</v>
      </c>
      <c r="J673" s="3" t="s">
        <v>1</v>
      </c>
      <c r="K673" s="3" t="s">
        <v>1</v>
      </c>
      <c r="L673" s="3" t="s">
        <v>1</v>
      </c>
      <c r="M673" s="5">
        <v>400</v>
      </c>
      <c r="N673" s="5">
        <v>0</v>
      </c>
      <c r="O673" t="str">
        <f t="shared" si="125"/>
        <v>BANKNIFTY</v>
      </c>
      <c r="P673" t="str">
        <f>IF(SEARCH("NIFTY",O673),RIGHT(A673,7),0)</f>
        <v>45000CE</v>
      </c>
      <c r="Q673">
        <f t="shared" ref="Q673:Q674" si="130">M673/C673</f>
        <v>0.8</v>
      </c>
      <c r="S673">
        <v>0</v>
      </c>
    </row>
    <row r="674" spans="1:19" x14ac:dyDescent="0.3">
      <c r="A674" s="1" t="s">
        <v>673</v>
      </c>
      <c r="B674" s="2">
        <v>45113</v>
      </c>
      <c r="C674" s="3">
        <v>500</v>
      </c>
      <c r="D674" s="3">
        <v>8.65</v>
      </c>
      <c r="E674" s="3">
        <v>4325</v>
      </c>
      <c r="F674" s="3">
        <v>500</v>
      </c>
      <c r="G674" s="3">
        <v>6.75</v>
      </c>
      <c r="H674" s="3">
        <f t="shared" si="124"/>
        <v>-1.9000000000000004</v>
      </c>
      <c r="I674" s="3">
        <v>3375</v>
      </c>
      <c r="J674" s="3" t="s">
        <v>1</v>
      </c>
      <c r="K674" s="3" t="s">
        <v>1</v>
      </c>
      <c r="L674" s="3" t="s">
        <v>1</v>
      </c>
      <c r="M674" s="4">
        <v>-950</v>
      </c>
      <c r="N674" s="5">
        <v>0</v>
      </c>
      <c r="O674" t="str">
        <f t="shared" si="125"/>
        <v>BANKNIFTY</v>
      </c>
      <c r="P674" t="str">
        <f>IF(SEARCH("NIFTY",O674),RIGHT(A674,7),0)</f>
        <v>47000CE</v>
      </c>
      <c r="Q674">
        <f t="shared" si="130"/>
        <v>-1.9</v>
      </c>
      <c r="S674">
        <v>0</v>
      </c>
    </row>
    <row r="675" spans="1:19" hidden="1" x14ac:dyDescent="0.3">
      <c r="A675" s="1" t="s">
        <v>674</v>
      </c>
      <c r="B675" s="2">
        <v>45134</v>
      </c>
      <c r="C675" s="3">
        <v>660000</v>
      </c>
      <c r="D675" s="3">
        <v>76.23</v>
      </c>
      <c r="E675" s="3">
        <v>50309250</v>
      </c>
      <c r="F675" s="3">
        <v>660000</v>
      </c>
      <c r="G675" s="3">
        <v>80.17</v>
      </c>
      <c r="H675" s="3">
        <f t="shared" si="124"/>
        <v>3.9399999999999977</v>
      </c>
      <c r="I675" s="3">
        <v>52909500</v>
      </c>
      <c r="J675" s="3" t="s">
        <v>1</v>
      </c>
      <c r="K675" s="3" t="s">
        <v>1</v>
      </c>
      <c r="L675" s="3" t="s">
        <v>1</v>
      </c>
      <c r="M675" s="5">
        <v>2600250</v>
      </c>
      <c r="N675" s="5">
        <v>0</v>
      </c>
      <c r="O675" t="e">
        <f t="shared" si="125"/>
        <v>#VALUE!</v>
      </c>
      <c r="P675" t="e">
        <f>IF(SEARCH("NIFTY",O675),RIGHT(A675,7),0)</f>
        <v>#VALUE!</v>
      </c>
      <c r="S675">
        <v>0</v>
      </c>
    </row>
    <row r="676" spans="1:19" hidden="1" x14ac:dyDescent="0.3">
      <c r="A676" s="1" t="s">
        <v>675</v>
      </c>
      <c r="B676" s="2">
        <v>45148</v>
      </c>
      <c r="C676" s="3">
        <v>2000</v>
      </c>
      <c r="D676" s="3">
        <v>4.5999999999999996</v>
      </c>
      <c r="E676" s="3">
        <v>9200</v>
      </c>
      <c r="F676" s="3">
        <v>2000</v>
      </c>
      <c r="G676" s="3">
        <v>2.1</v>
      </c>
      <c r="H676" s="3">
        <f t="shared" si="124"/>
        <v>-2.4999999999999996</v>
      </c>
      <c r="I676" s="3">
        <v>4200</v>
      </c>
      <c r="J676" s="3" t="s">
        <v>1</v>
      </c>
      <c r="K676" s="3" t="s">
        <v>1</v>
      </c>
      <c r="L676" s="3" t="s">
        <v>1</v>
      </c>
      <c r="M676" s="4">
        <v>-5000</v>
      </c>
      <c r="N676" s="5">
        <v>0</v>
      </c>
      <c r="O676" t="str">
        <f t="shared" si="125"/>
        <v>NIFTY</v>
      </c>
      <c r="P676" t="str">
        <f>IF(SEARCH("NIFTY",O676),RIGHT(A676,7),0)</f>
        <v>19800CE</v>
      </c>
      <c r="S676">
        <v>0</v>
      </c>
    </row>
    <row r="677" spans="1:19" x14ac:dyDescent="0.3">
      <c r="A677" s="1" t="s">
        <v>676</v>
      </c>
      <c r="B677" s="2">
        <v>45043</v>
      </c>
      <c r="C677" s="3">
        <v>1800</v>
      </c>
      <c r="D677" s="3">
        <v>14.25</v>
      </c>
      <c r="E677" s="3">
        <v>25650</v>
      </c>
      <c r="F677" s="3">
        <v>1800</v>
      </c>
      <c r="G677" s="3">
        <v>16.78</v>
      </c>
      <c r="H677" s="3">
        <f t="shared" si="124"/>
        <v>2.5300000000000011</v>
      </c>
      <c r="I677" s="3">
        <v>30212.5</v>
      </c>
      <c r="J677" s="3" t="s">
        <v>1</v>
      </c>
      <c r="K677" s="3" t="s">
        <v>1</v>
      </c>
      <c r="L677" s="3" t="s">
        <v>1</v>
      </c>
      <c r="M677" s="5">
        <v>4562.5</v>
      </c>
      <c r="N677" s="5">
        <v>0</v>
      </c>
      <c r="O677" t="str">
        <f t="shared" si="125"/>
        <v>BANKNIFTY</v>
      </c>
      <c r="P677" t="str">
        <f>IF(SEARCH("NIFTY",O677),RIGHT(A677,7),0)</f>
        <v>43500CE</v>
      </c>
      <c r="Q677">
        <f>M677/C677</f>
        <v>2.5347222222222223</v>
      </c>
      <c r="S677">
        <v>0</v>
      </c>
    </row>
    <row r="678" spans="1:19" hidden="1" x14ac:dyDescent="0.3">
      <c r="A678" s="1" t="s">
        <v>677</v>
      </c>
      <c r="B678" s="2">
        <v>45169</v>
      </c>
      <c r="C678" s="3">
        <v>450000</v>
      </c>
      <c r="D678" s="3">
        <v>0.57999999999999996</v>
      </c>
      <c r="E678" s="3">
        <v>262500</v>
      </c>
      <c r="F678" s="3">
        <v>450000</v>
      </c>
      <c r="G678" s="3">
        <v>0.56999999999999995</v>
      </c>
      <c r="H678" s="3">
        <f t="shared" si="124"/>
        <v>-1.0000000000000009E-2</v>
      </c>
      <c r="I678" s="3">
        <v>255000</v>
      </c>
      <c r="J678" s="3" t="s">
        <v>1</v>
      </c>
      <c r="K678" s="3" t="s">
        <v>1</v>
      </c>
      <c r="L678" s="3" t="s">
        <v>1</v>
      </c>
      <c r="M678" s="4">
        <v>-7500</v>
      </c>
      <c r="N678" s="5">
        <v>0</v>
      </c>
      <c r="O678" t="e">
        <f t="shared" si="125"/>
        <v>#VALUE!</v>
      </c>
      <c r="P678" t="e">
        <f>IF(SEARCH("NIFTY",O678),RIGHT(A678,7),0)</f>
        <v>#VALUE!</v>
      </c>
      <c r="S678">
        <v>0</v>
      </c>
    </row>
    <row r="679" spans="1:19" hidden="1" x14ac:dyDescent="0.3">
      <c r="A679" s="1" t="s">
        <v>678</v>
      </c>
      <c r="B679" s="2">
        <v>45169</v>
      </c>
      <c r="C679" s="3">
        <v>1500</v>
      </c>
      <c r="D679" s="3">
        <v>3024.4</v>
      </c>
      <c r="E679" s="3">
        <v>4536600</v>
      </c>
      <c r="F679" s="3">
        <v>1500</v>
      </c>
      <c r="G679" s="3">
        <v>2950</v>
      </c>
      <c r="H679" s="3">
        <f t="shared" si="124"/>
        <v>-74.400000000000091</v>
      </c>
      <c r="I679" s="3">
        <v>4425000</v>
      </c>
      <c r="J679" s="3" t="s">
        <v>1</v>
      </c>
      <c r="K679" s="3" t="s">
        <v>1</v>
      </c>
      <c r="L679" s="3" t="s">
        <v>1</v>
      </c>
      <c r="M679" s="4">
        <v>-111600</v>
      </c>
      <c r="N679" s="5">
        <v>0</v>
      </c>
      <c r="O679" t="e">
        <f t="shared" si="125"/>
        <v>#VALUE!</v>
      </c>
      <c r="P679" t="e">
        <f>IF(SEARCH("NIFTY",O679),RIGHT(A679,7),0)</f>
        <v>#VALUE!</v>
      </c>
      <c r="S679">
        <v>0</v>
      </c>
    </row>
    <row r="680" spans="1:19" x14ac:dyDescent="0.3">
      <c r="A680" s="1" t="s">
        <v>679</v>
      </c>
      <c r="B680" s="2">
        <v>45078</v>
      </c>
      <c r="C680" s="3">
        <v>500</v>
      </c>
      <c r="D680" s="3">
        <v>26.61</v>
      </c>
      <c r="E680" s="3">
        <v>13305</v>
      </c>
      <c r="F680" s="3">
        <v>500</v>
      </c>
      <c r="G680" s="3">
        <v>37.950000000000003</v>
      </c>
      <c r="H680" s="3">
        <f t="shared" si="124"/>
        <v>11.340000000000003</v>
      </c>
      <c r="I680" s="3">
        <v>18975</v>
      </c>
      <c r="J680" s="3" t="s">
        <v>1</v>
      </c>
      <c r="K680" s="3" t="s">
        <v>1</v>
      </c>
      <c r="L680" s="3" t="s">
        <v>1</v>
      </c>
      <c r="M680" s="5">
        <v>5670</v>
      </c>
      <c r="N680" s="5">
        <v>0</v>
      </c>
      <c r="O680" t="str">
        <f t="shared" si="125"/>
        <v>BANKNIFTY</v>
      </c>
      <c r="P680" t="str">
        <f>IF(SEARCH("NIFTY",O680),RIGHT(A680,7),0)</f>
        <v>42900PE</v>
      </c>
      <c r="Q680">
        <f t="shared" ref="Q680:Q683" si="131">M680/C680</f>
        <v>11.34</v>
      </c>
      <c r="S680">
        <v>0</v>
      </c>
    </row>
    <row r="681" spans="1:19" x14ac:dyDescent="0.3">
      <c r="A681" s="1" t="s">
        <v>680</v>
      </c>
      <c r="B681" s="2">
        <v>45162</v>
      </c>
      <c r="C681" s="3">
        <v>1440</v>
      </c>
      <c r="D681" s="3">
        <v>75.36</v>
      </c>
      <c r="E681" s="3">
        <v>108514.5</v>
      </c>
      <c r="F681" s="3">
        <v>1440</v>
      </c>
      <c r="G681" s="3">
        <v>73.16</v>
      </c>
      <c r="H681" s="3">
        <f t="shared" si="124"/>
        <v>-2.2000000000000028</v>
      </c>
      <c r="I681" s="3">
        <v>105345</v>
      </c>
      <c r="J681" s="3" t="s">
        <v>1</v>
      </c>
      <c r="K681" s="3" t="s">
        <v>1</v>
      </c>
      <c r="L681" s="3" t="s">
        <v>1</v>
      </c>
      <c r="M681" s="4">
        <v>-3169.5</v>
      </c>
      <c r="N681" s="5">
        <v>0</v>
      </c>
      <c r="O681" t="str">
        <f t="shared" si="125"/>
        <v>BANKNIFTY</v>
      </c>
      <c r="P681" t="str">
        <f>IF(SEARCH("NIFTY",O681),RIGHT(A681,7),0)</f>
        <v>44300CE</v>
      </c>
      <c r="Q681">
        <f t="shared" si="131"/>
        <v>-2.2010416666666668</v>
      </c>
      <c r="S681">
        <v>0</v>
      </c>
    </row>
    <row r="682" spans="1:19" x14ac:dyDescent="0.3">
      <c r="A682" s="1" t="s">
        <v>681</v>
      </c>
      <c r="B682" s="2">
        <v>45036</v>
      </c>
      <c r="C682" s="3">
        <v>600</v>
      </c>
      <c r="D682" s="3">
        <v>6.29</v>
      </c>
      <c r="E682" s="3">
        <v>3775</v>
      </c>
      <c r="F682" s="3">
        <v>600</v>
      </c>
      <c r="G682" s="3">
        <v>4.5999999999999996</v>
      </c>
      <c r="H682" s="3">
        <f t="shared" si="124"/>
        <v>-1.6900000000000004</v>
      </c>
      <c r="I682" s="3">
        <v>2760</v>
      </c>
      <c r="J682" s="3" t="s">
        <v>1</v>
      </c>
      <c r="K682" s="3" t="s">
        <v>1</v>
      </c>
      <c r="L682" s="3" t="s">
        <v>1</v>
      </c>
      <c r="M682" s="4">
        <v>-1015</v>
      </c>
      <c r="N682" s="5">
        <v>0</v>
      </c>
      <c r="O682" t="str">
        <f t="shared" si="125"/>
        <v>BANKNIFTY</v>
      </c>
      <c r="P682" t="str">
        <f>IF(SEARCH("NIFTY",O682),RIGHT(A682,7),0)</f>
        <v>40500PE</v>
      </c>
      <c r="Q682">
        <f t="shared" si="131"/>
        <v>-1.6916666666666667</v>
      </c>
      <c r="S682">
        <v>0</v>
      </c>
    </row>
    <row r="683" spans="1:19" x14ac:dyDescent="0.3">
      <c r="A683" s="1" t="s">
        <v>682</v>
      </c>
      <c r="B683" s="2">
        <v>45036</v>
      </c>
      <c r="C683" s="3">
        <v>600</v>
      </c>
      <c r="D683" s="3">
        <v>34.9</v>
      </c>
      <c r="E683" s="3">
        <v>20940</v>
      </c>
      <c r="F683" s="3">
        <v>600</v>
      </c>
      <c r="G683" s="3">
        <v>44.19</v>
      </c>
      <c r="H683" s="3">
        <f t="shared" si="124"/>
        <v>9.2899999999999991</v>
      </c>
      <c r="I683" s="3">
        <v>26511.25</v>
      </c>
      <c r="J683" s="3" t="s">
        <v>1</v>
      </c>
      <c r="K683" s="3" t="s">
        <v>1</v>
      </c>
      <c r="L683" s="3" t="s">
        <v>1</v>
      </c>
      <c r="M683" s="5">
        <v>5571.25</v>
      </c>
      <c r="N683" s="5">
        <v>0</v>
      </c>
      <c r="O683" t="str">
        <f t="shared" si="125"/>
        <v>BANKNIFTY</v>
      </c>
      <c r="P683" t="str">
        <f>IF(SEARCH("NIFTY",O683),RIGHT(A683,7),0)</f>
        <v>42800CE</v>
      </c>
      <c r="Q683">
        <f t="shared" si="131"/>
        <v>9.2854166666666664</v>
      </c>
      <c r="S683">
        <v>0</v>
      </c>
    </row>
    <row r="684" spans="1:19" hidden="1" x14ac:dyDescent="0.3">
      <c r="A684" s="1" t="s">
        <v>683</v>
      </c>
      <c r="B684" s="2">
        <v>45078</v>
      </c>
      <c r="C684" s="3">
        <v>3000</v>
      </c>
      <c r="D684" s="3">
        <v>0.88</v>
      </c>
      <c r="E684" s="3">
        <v>2625</v>
      </c>
      <c r="F684" s="3">
        <v>3000</v>
      </c>
      <c r="G684" s="3">
        <v>0.95</v>
      </c>
      <c r="H684" s="3">
        <f t="shared" si="124"/>
        <v>6.9999999999999951E-2</v>
      </c>
      <c r="I684" s="3">
        <v>2850</v>
      </c>
      <c r="J684" s="3" t="s">
        <v>1</v>
      </c>
      <c r="K684" s="3" t="s">
        <v>1</v>
      </c>
      <c r="L684" s="3" t="s">
        <v>1</v>
      </c>
      <c r="M684" s="5">
        <v>225</v>
      </c>
      <c r="N684" s="5">
        <v>0</v>
      </c>
      <c r="O684" t="str">
        <f t="shared" si="125"/>
        <v>NIFTY</v>
      </c>
      <c r="P684" t="str">
        <f>IF(SEARCH("NIFTY",O684),RIGHT(A684,7),0)</f>
        <v>18100PE</v>
      </c>
    </row>
  </sheetData>
  <autoFilter ref="A1:P684" xr:uid="{D7A80C7E-A032-47C7-B992-DDB6FE39722E}">
    <filterColumn colId="14">
      <filters>
        <filter val="BANKNIFT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Poorna Chand</dc:creator>
  <cp:lastModifiedBy>Poorna Chand</cp:lastModifiedBy>
  <dcterms:created xsi:type="dcterms:W3CDTF">2023-09-19T15:05:49Z</dcterms:created>
  <dcterms:modified xsi:type="dcterms:W3CDTF">2023-09-26T18:13:09Z</dcterms:modified>
</cp:coreProperties>
</file>